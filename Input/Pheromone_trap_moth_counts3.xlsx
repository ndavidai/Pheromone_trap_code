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Noa/Documents/Documents - MacBook Air/PhD/R:Stats:GIS/Data/Pheromone traps/"/>
    </mc:Choice>
  </mc:AlternateContent>
  <xr:revisionPtr revIDLastSave="0" documentId="13_ncr:1_{81997BFF-9169-564A-A329-CB51C93900F2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LMCPtr2KP8sp/b1aVapyOM7PSFQ=="/>
    </ext>
  </extLst>
</workbook>
</file>

<file path=xl/calcChain.xml><?xml version="1.0" encoding="utf-8"?>
<calcChain xmlns="http://schemas.openxmlformats.org/spreadsheetml/2006/main">
  <c r="K7" i="1" l="1"/>
  <c r="K8" i="1"/>
  <c r="K15" i="1"/>
  <c r="K16" i="1"/>
  <c r="K23" i="1"/>
  <c r="K24" i="1"/>
  <c r="K31" i="1"/>
  <c r="K32" i="1"/>
  <c r="K39" i="1"/>
  <c r="K40" i="1"/>
  <c r="K45" i="1"/>
  <c r="K47" i="1"/>
  <c r="K48" i="1"/>
  <c r="K55" i="1"/>
  <c r="K56" i="1"/>
  <c r="K59" i="1"/>
  <c r="K61" i="1"/>
  <c r="K62" i="1"/>
  <c r="K63" i="1"/>
  <c r="K64" i="1"/>
  <c r="K70" i="1"/>
  <c r="K71" i="1"/>
  <c r="K72" i="1"/>
  <c r="K77" i="1"/>
  <c r="K78" i="1"/>
  <c r="K79" i="1"/>
  <c r="K80" i="1"/>
  <c r="K85" i="1"/>
  <c r="K86" i="1"/>
  <c r="K87" i="1"/>
  <c r="K88" i="1"/>
  <c r="K95" i="1"/>
  <c r="K96" i="1"/>
  <c r="K101" i="1"/>
  <c r="K102" i="1"/>
  <c r="K103" i="1"/>
  <c r="K104" i="1"/>
  <c r="K107" i="1"/>
  <c r="K108" i="1"/>
  <c r="K109" i="1"/>
  <c r="K110" i="1"/>
  <c r="K111" i="1"/>
  <c r="K112" i="1"/>
  <c r="K116" i="1"/>
  <c r="K118" i="1"/>
  <c r="K119" i="1"/>
  <c r="K120" i="1"/>
  <c r="K122" i="1"/>
  <c r="K124" i="1"/>
  <c r="K125" i="1"/>
  <c r="K126" i="1"/>
  <c r="K127" i="1"/>
  <c r="K128" i="1"/>
  <c r="K132" i="1"/>
  <c r="K133" i="1"/>
  <c r="K2" i="1"/>
  <c r="J104" i="1"/>
  <c r="J94" i="1"/>
  <c r="K94" i="1" s="1"/>
  <c r="J77" i="1"/>
  <c r="J61" i="1"/>
  <c r="J41" i="1"/>
  <c r="K41" i="1" s="1"/>
  <c r="I3" i="1"/>
  <c r="J3" i="1" s="1"/>
  <c r="K3" i="1" s="1"/>
  <c r="I4" i="1"/>
  <c r="J4" i="1" s="1"/>
  <c r="K4" i="1" s="1"/>
  <c r="I5" i="1"/>
  <c r="J5" i="1" s="1"/>
  <c r="K5" i="1" s="1"/>
  <c r="I6" i="1"/>
  <c r="J6" i="1" s="1"/>
  <c r="K6" i="1" s="1"/>
  <c r="I7" i="1"/>
  <c r="J7" i="1" s="1"/>
  <c r="I8" i="1"/>
  <c r="J8" i="1" s="1"/>
  <c r="I9" i="1"/>
  <c r="J9" i="1" s="1"/>
  <c r="K9" i="1" s="1"/>
  <c r="I10" i="1"/>
  <c r="J10" i="1" s="1"/>
  <c r="K10" i="1" s="1"/>
  <c r="I11" i="1"/>
  <c r="J11" i="1" s="1"/>
  <c r="K11" i="1" s="1"/>
  <c r="I12" i="1"/>
  <c r="J12" i="1" s="1"/>
  <c r="K12" i="1" s="1"/>
  <c r="I13" i="1"/>
  <c r="J13" i="1" s="1"/>
  <c r="K13" i="1" s="1"/>
  <c r="I14" i="1"/>
  <c r="J14" i="1" s="1"/>
  <c r="K14" i="1" s="1"/>
  <c r="I15" i="1"/>
  <c r="J15" i="1" s="1"/>
  <c r="I16" i="1"/>
  <c r="J16" i="1" s="1"/>
  <c r="I17" i="1"/>
  <c r="J17" i="1" s="1"/>
  <c r="K17" i="1" s="1"/>
  <c r="I18" i="1"/>
  <c r="J18" i="1" s="1"/>
  <c r="K18" i="1" s="1"/>
  <c r="I19" i="1"/>
  <c r="J19" i="1" s="1"/>
  <c r="K19" i="1" s="1"/>
  <c r="I20" i="1"/>
  <c r="J20" i="1" s="1"/>
  <c r="K20" i="1" s="1"/>
  <c r="I21" i="1"/>
  <c r="J21" i="1" s="1"/>
  <c r="K21" i="1" s="1"/>
  <c r="I22" i="1"/>
  <c r="J22" i="1" s="1"/>
  <c r="K22" i="1" s="1"/>
  <c r="I23" i="1"/>
  <c r="J23" i="1" s="1"/>
  <c r="I24" i="1"/>
  <c r="J24" i="1" s="1"/>
  <c r="I25" i="1"/>
  <c r="J25" i="1" s="1"/>
  <c r="K25" i="1" s="1"/>
  <c r="I26" i="1"/>
  <c r="J26" i="1" s="1"/>
  <c r="K26" i="1" s="1"/>
  <c r="I27" i="1"/>
  <c r="J27" i="1" s="1"/>
  <c r="K27" i="1" s="1"/>
  <c r="I28" i="1"/>
  <c r="J28" i="1" s="1"/>
  <c r="K28" i="1" s="1"/>
  <c r="I29" i="1"/>
  <c r="J29" i="1" s="1"/>
  <c r="K29" i="1" s="1"/>
  <c r="I30" i="1"/>
  <c r="J30" i="1" s="1"/>
  <c r="K30" i="1" s="1"/>
  <c r="I31" i="1"/>
  <c r="J31" i="1" s="1"/>
  <c r="I32" i="1"/>
  <c r="J32" i="1" s="1"/>
  <c r="I33" i="1"/>
  <c r="J33" i="1" s="1"/>
  <c r="K33" i="1" s="1"/>
  <c r="I34" i="1"/>
  <c r="J34" i="1" s="1"/>
  <c r="K34" i="1" s="1"/>
  <c r="I35" i="1"/>
  <c r="J35" i="1" s="1"/>
  <c r="K35" i="1" s="1"/>
  <c r="I36" i="1"/>
  <c r="J36" i="1" s="1"/>
  <c r="K36" i="1" s="1"/>
  <c r="I37" i="1"/>
  <c r="J37" i="1" s="1"/>
  <c r="K37" i="1" s="1"/>
  <c r="I38" i="1"/>
  <c r="J38" i="1" s="1"/>
  <c r="K38" i="1" s="1"/>
  <c r="I39" i="1"/>
  <c r="J39" i="1" s="1"/>
  <c r="I40" i="1"/>
  <c r="J40" i="1" s="1"/>
  <c r="I41" i="1"/>
  <c r="I42" i="1"/>
  <c r="J42" i="1" s="1"/>
  <c r="K42" i="1" s="1"/>
  <c r="I43" i="1"/>
  <c r="J43" i="1" s="1"/>
  <c r="K43" i="1" s="1"/>
  <c r="I44" i="1"/>
  <c r="J44" i="1" s="1"/>
  <c r="K44" i="1" s="1"/>
  <c r="I45" i="1"/>
  <c r="I46" i="1"/>
  <c r="J46" i="1" s="1"/>
  <c r="K46" i="1" s="1"/>
  <c r="I47" i="1"/>
  <c r="J47" i="1" s="1"/>
  <c r="I48" i="1"/>
  <c r="I49" i="1"/>
  <c r="J49" i="1" s="1"/>
  <c r="K49" i="1" s="1"/>
  <c r="I50" i="1"/>
  <c r="J50" i="1" s="1"/>
  <c r="K50" i="1" s="1"/>
  <c r="I51" i="1"/>
  <c r="J51" i="1" s="1"/>
  <c r="K51" i="1" s="1"/>
  <c r="I52" i="1"/>
  <c r="J52" i="1" s="1"/>
  <c r="K52" i="1" s="1"/>
  <c r="I53" i="1"/>
  <c r="J53" i="1" s="1"/>
  <c r="K53" i="1" s="1"/>
  <c r="I54" i="1"/>
  <c r="J54" i="1" s="1"/>
  <c r="K54" i="1" s="1"/>
  <c r="I55" i="1"/>
  <c r="J55" i="1" s="1"/>
  <c r="I56" i="1"/>
  <c r="J56" i="1" s="1"/>
  <c r="I57" i="1"/>
  <c r="J57" i="1" s="1"/>
  <c r="K57" i="1" s="1"/>
  <c r="I58" i="1"/>
  <c r="J58" i="1" s="1"/>
  <c r="K58" i="1" s="1"/>
  <c r="I59" i="1"/>
  <c r="I60" i="1"/>
  <c r="J60" i="1" s="1"/>
  <c r="K60" i="1" s="1"/>
  <c r="I61" i="1"/>
  <c r="I62" i="1"/>
  <c r="I63" i="1"/>
  <c r="J63" i="1" s="1"/>
  <c r="I64" i="1"/>
  <c r="J64" i="1" s="1"/>
  <c r="I65" i="1"/>
  <c r="J65" i="1" s="1"/>
  <c r="K65" i="1" s="1"/>
  <c r="I66" i="1"/>
  <c r="J66" i="1" s="1"/>
  <c r="K66" i="1" s="1"/>
  <c r="I67" i="1"/>
  <c r="J67" i="1" s="1"/>
  <c r="K67" i="1" s="1"/>
  <c r="I68" i="1"/>
  <c r="J68" i="1" s="1"/>
  <c r="K68" i="1" s="1"/>
  <c r="I69" i="1"/>
  <c r="J69" i="1" s="1"/>
  <c r="K69" i="1" s="1"/>
  <c r="I70" i="1"/>
  <c r="J70" i="1" s="1"/>
  <c r="I71" i="1"/>
  <c r="J71" i="1" s="1"/>
  <c r="I72" i="1"/>
  <c r="J72" i="1" s="1"/>
  <c r="I73" i="1"/>
  <c r="J73" i="1" s="1"/>
  <c r="K73" i="1" s="1"/>
  <c r="I74" i="1"/>
  <c r="J74" i="1" s="1"/>
  <c r="K74" i="1" s="1"/>
  <c r="I75" i="1"/>
  <c r="J75" i="1" s="1"/>
  <c r="K75" i="1" s="1"/>
  <c r="I76" i="1"/>
  <c r="J76" i="1" s="1"/>
  <c r="K76" i="1" s="1"/>
  <c r="I77" i="1"/>
  <c r="I78" i="1"/>
  <c r="J78" i="1" s="1"/>
  <c r="I79" i="1"/>
  <c r="J79" i="1" s="1"/>
  <c r="I80" i="1"/>
  <c r="J80" i="1" s="1"/>
  <c r="I81" i="1"/>
  <c r="J81" i="1" s="1"/>
  <c r="K81" i="1" s="1"/>
  <c r="I82" i="1"/>
  <c r="J82" i="1" s="1"/>
  <c r="K82" i="1" s="1"/>
  <c r="I83" i="1"/>
  <c r="J83" i="1" s="1"/>
  <c r="K83" i="1" s="1"/>
  <c r="I84" i="1"/>
  <c r="J84" i="1" s="1"/>
  <c r="K84" i="1" s="1"/>
  <c r="I85" i="1"/>
  <c r="I86" i="1"/>
  <c r="J86" i="1" s="1"/>
  <c r="I87" i="1"/>
  <c r="J87" i="1" s="1"/>
  <c r="I88" i="1"/>
  <c r="J88" i="1" s="1"/>
  <c r="I89" i="1"/>
  <c r="J89" i="1" s="1"/>
  <c r="K89" i="1" s="1"/>
  <c r="I90" i="1"/>
  <c r="J90" i="1" s="1"/>
  <c r="K90" i="1" s="1"/>
  <c r="I91" i="1"/>
  <c r="J91" i="1" s="1"/>
  <c r="K91" i="1" s="1"/>
  <c r="I92" i="1"/>
  <c r="J92" i="1" s="1"/>
  <c r="K92" i="1" s="1"/>
  <c r="I93" i="1"/>
  <c r="J93" i="1" s="1"/>
  <c r="K93" i="1" s="1"/>
  <c r="I94" i="1"/>
  <c r="I95" i="1"/>
  <c r="J95" i="1" s="1"/>
  <c r="I96" i="1"/>
  <c r="J96" i="1" s="1"/>
  <c r="I97" i="1"/>
  <c r="J97" i="1" s="1"/>
  <c r="K97" i="1" s="1"/>
  <c r="I98" i="1"/>
  <c r="J98" i="1" s="1"/>
  <c r="K98" i="1" s="1"/>
  <c r="I99" i="1"/>
  <c r="J99" i="1" s="1"/>
  <c r="K99" i="1" s="1"/>
  <c r="I100" i="1"/>
  <c r="J100" i="1" s="1"/>
  <c r="K100" i="1" s="1"/>
  <c r="I101" i="1"/>
  <c r="I102" i="1"/>
  <c r="J102" i="1" s="1"/>
  <c r="I103" i="1"/>
  <c r="J103" i="1" s="1"/>
  <c r="I104" i="1"/>
  <c r="I105" i="1"/>
  <c r="J105" i="1" s="1"/>
  <c r="K105" i="1" s="1"/>
  <c r="I106" i="1"/>
  <c r="J106" i="1" s="1"/>
  <c r="K106" i="1" s="1"/>
  <c r="I107" i="1"/>
  <c r="I108" i="1"/>
  <c r="I109" i="1"/>
  <c r="I110" i="1"/>
  <c r="I111" i="1"/>
  <c r="J111" i="1" s="1"/>
  <c r="I112" i="1"/>
  <c r="J112" i="1" s="1"/>
  <c r="I113" i="1"/>
  <c r="J113" i="1" s="1"/>
  <c r="K113" i="1" s="1"/>
  <c r="I114" i="1"/>
  <c r="J114" i="1" s="1"/>
  <c r="K114" i="1" s="1"/>
  <c r="I115" i="1"/>
  <c r="J115" i="1" s="1"/>
  <c r="K115" i="1" s="1"/>
  <c r="I116" i="1"/>
  <c r="I117" i="1"/>
  <c r="J117" i="1" s="1"/>
  <c r="K117" i="1" s="1"/>
  <c r="I118" i="1"/>
  <c r="J118" i="1" s="1"/>
  <c r="I119" i="1"/>
  <c r="J119" i="1" s="1"/>
  <c r="I120" i="1"/>
  <c r="J120" i="1" s="1"/>
  <c r="I121" i="1"/>
  <c r="J121" i="1" s="1"/>
  <c r="K121" i="1" s="1"/>
  <c r="I122" i="1"/>
  <c r="I123" i="1"/>
  <c r="J123" i="1" s="1"/>
  <c r="K123" i="1" s="1"/>
  <c r="I124" i="1"/>
  <c r="I125" i="1"/>
  <c r="I126" i="1"/>
  <c r="J126" i="1" s="1"/>
  <c r="I127" i="1"/>
  <c r="J127" i="1" s="1"/>
  <c r="I128" i="1"/>
  <c r="J128" i="1" s="1"/>
  <c r="I129" i="1"/>
  <c r="J129" i="1" s="1"/>
  <c r="K129" i="1" s="1"/>
  <c r="I130" i="1"/>
  <c r="J130" i="1" s="1"/>
  <c r="K130" i="1" s="1"/>
  <c r="I131" i="1"/>
  <c r="J131" i="1" s="1"/>
  <c r="K131" i="1" s="1"/>
  <c r="I132" i="1"/>
  <c r="I133" i="1"/>
  <c r="I2" i="1"/>
  <c r="J2" i="1" s="1"/>
</calcChain>
</file>

<file path=xl/sharedStrings.xml><?xml version="1.0" encoding="utf-8"?>
<sst xmlns="http://schemas.openxmlformats.org/spreadsheetml/2006/main" count="704" uniqueCount="255">
  <si>
    <t>Patch #</t>
  </si>
  <si>
    <t>Patch name</t>
  </si>
  <si>
    <t>Stand type</t>
  </si>
  <si>
    <t>Other Species</t>
  </si>
  <si>
    <t>Specimen/Photo/Notes?</t>
  </si>
  <si>
    <t>Field Notes</t>
  </si>
  <si>
    <t>Lab notes</t>
  </si>
  <si>
    <t>Parc National de Mont Orford</t>
  </si>
  <si>
    <t>MO Dom1</t>
  </si>
  <si>
    <t>one live moth outside of trap</t>
  </si>
  <si>
    <t>MO Dom 1</t>
  </si>
  <si>
    <t>MO Co-Dom1</t>
  </si>
  <si>
    <t>2 fly, 2 spider</t>
  </si>
  <si>
    <t>a few beetles</t>
  </si>
  <si>
    <t>MO Low 1</t>
  </si>
  <si>
    <t>MO Dom2</t>
  </si>
  <si>
    <t>one live in trap</t>
  </si>
  <si>
    <t>MO Co-Dom2</t>
  </si>
  <si>
    <t>lots of beetles, some moth intact, some in advanced stage of decomp</t>
  </si>
  <si>
    <t>MO Low 2</t>
  </si>
  <si>
    <t>one live in trap- check coordinates for evan, a few beetles</t>
  </si>
  <si>
    <t>some mush- weight it</t>
  </si>
  <si>
    <t>Parc National de Mont Orford 2</t>
  </si>
  <si>
    <t>MO2 Dom1</t>
  </si>
  <si>
    <t>9 flies, 1 ant</t>
  </si>
  <si>
    <t>1 live moth, few beetles, 1 moth non-spongy (collected)</t>
  </si>
  <si>
    <t>MO2 Co-Dom1</t>
  </si>
  <si>
    <t>&gt;10 flies</t>
  </si>
  <si>
    <t>A few small beetles, 1 moth non-spongy</t>
  </si>
  <si>
    <t>MO2 Low 1</t>
  </si>
  <si>
    <t>2 beetles</t>
  </si>
  <si>
    <t>MO2 Dom2</t>
  </si>
  <si>
    <t>many beetles, lesser stage of decomp, but still sme, 1 live moth</t>
  </si>
  <si>
    <t xml:space="preserve">1 non-spongy moth, but in another envelop by MEJ, the "Muck" was weighed </t>
  </si>
  <si>
    <t>MO2 Co-Dom2</t>
  </si>
  <si>
    <t>3 live moths, many beetles, some intact moths, many in advanced stage of decomp</t>
  </si>
  <si>
    <t>MO2 Low 2</t>
  </si>
  <si>
    <t>1 megaloptera, 6 fly, 1 head of beetle</t>
  </si>
  <si>
    <t>1 beetle, but for the majority of moths there, only wings remain or are at least detatched</t>
  </si>
  <si>
    <t>megaloptera kept in an envelope, 1 non spongy wing</t>
  </si>
  <si>
    <t xml:space="preserve">Mont Gauvin/Glen </t>
  </si>
  <si>
    <t>Bolt Dom1</t>
  </si>
  <si>
    <t>Bolt Co-Dom1</t>
  </si>
  <si>
    <t>1 non-spongy</t>
  </si>
  <si>
    <t>Bolt Low 1</t>
  </si>
  <si>
    <t>Bolt Dom2</t>
  </si>
  <si>
    <t>1 moth alive</t>
  </si>
  <si>
    <t>Bolt Co-Dom2</t>
  </si>
  <si>
    <t>Bolt Low 2</t>
  </si>
  <si>
    <t>Hatley</t>
  </si>
  <si>
    <t>Hat Dom1</t>
  </si>
  <si>
    <t>1 fly, 1 non-spongy moth</t>
  </si>
  <si>
    <t>Hat Co-Dom1</t>
  </si>
  <si>
    <t>1 fly</t>
  </si>
  <si>
    <t>Hat Low 1</t>
  </si>
  <si>
    <t>2 flies</t>
  </si>
  <si>
    <t>1 live moth flew out</t>
  </si>
  <si>
    <t>1 non-spongy moth</t>
  </si>
  <si>
    <t>Hat Dom2</t>
  </si>
  <si>
    <t>1 non spongy moth, 3 flies</t>
  </si>
  <si>
    <t>A few beetles, but moths still in good shape</t>
  </si>
  <si>
    <t>Hat Co-Dom2</t>
  </si>
  <si>
    <t>3 flies</t>
  </si>
  <si>
    <t>Hat Low 2</t>
  </si>
  <si>
    <t>a moderate number if beetles, but moths still intact</t>
  </si>
  <si>
    <t>Mont Saint Hilaire</t>
  </si>
  <si>
    <t>MSH Dom1</t>
  </si>
  <si>
    <t>MSH Co-Dom1</t>
  </si>
  <si>
    <t>MSH Low 1</t>
  </si>
  <si>
    <t>MSH Dom2</t>
  </si>
  <si>
    <t>1 beetle</t>
  </si>
  <si>
    <t>a lot of mush and some intact moths (some full, some only wings)</t>
  </si>
  <si>
    <t>many lone wings in bad conditions, in pieces or all stuck together- to be considered when estimating number of wings, moths very damaged</t>
  </si>
  <si>
    <t>MSH Co-Dom2</t>
  </si>
  <si>
    <t>mush and few recoverable wings (not much in the trap in general)</t>
  </si>
  <si>
    <t>MSH Low 2</t>
  </si>
  <si>
    <t>NA</t>
  </si>
  <si>
    <t>mush</t>
  </si>
  <si>
    <t>Mont Saint Hilaire 2</t>
  </si>
  <si>
    <t>MSH2 Dom1</t>
  </si>
  <si>
    <t>full of beetles, mostly decomposed matter</t>
  </si>
  <si>
    <t>MSH2 Co-Dom1</t>
  </si>
  <si>
    <t>MSH2 Low 1</t>
  </si>
  <si>
    <t>MSH2 Dom2</t>
  </si>
  <si>
    <t>full of beetles, mostly decomposed matter, 1 live moth</t>
  </si>
  <si>
    <t>MSH2 Co-Dom2</t>
  </si>
  <si>
    <t>MSH2 Low 2</t>
  </si>
  <si>
    <t>1 catterpilar and 1 moth</t>
  </si>
  <si>
    <t>no spongy moths, 1 non-spongy moth, 1 non-spongy caterpillar, photos taken</t>
  </si>
  <si>
    <t>Mont Saint Bruno</t>
  </si>
  <si>
    <t>MSB Dom1</t>
  </si>
  <si>
    <t>MSB Co-Dom1</t>
  </si>
  <si>
    <t>1 aspen moth</t>
  </si>
  <si>
    <t>MSB Low 1</t>
  </si>
  <si>
    <t>MSB Dom2</t>
  </si>
  <si>
    <t>MSB Co-Dom2</t>
  </si>
  <si>
    <t>MSB Low 2</t>
  </si>
  <si>
    <t>Mont Saint Bruno 2</t>
  </si>
  <si>
    <t>MSB2 Dom1</t>
  </si>
  <si>
    <t>many beetles, only decomposed material left seems, like there were a lot of moths, but none are recoverable</t>
  </si>
  <si>
    <t>MSB2 Co-Dom1</t>
  </si>
  <si>
    <t>many beetles, moths still largely recoverable</t>
  </si>
  <si>
    <t>the paper in the bag said Dom 1</t>
  </si>
  <si>
    <t>MSB2 Low 1</t>
  </si>
  <si>
    <t>MSB2 Dom2</t>
  </si>
  <si>
    <t>MSB2 Co-Dom2</t>
  </si>
  <si>
    <t>MSB2 Low 2</t>
  </si>
  <si>
    <t>Parc Michel Chartrand</t>
  </si>
  <si>
    <t>MC Dom1</t>
  </si>
  <si>
    <t>MC Dom 1</t>
  </si>
  <si>
    <t>MC Co-Dom1</t>
  </si>
  <si>
    <t>a couple small non-spongies, a few snails</t>
  </si>
  <si>
    <t>MC Low 1</t>
  </si>
  <si>
    <t>some beetles, various stages of decomp, mostly just wings recoverable</t>
  </si>
  <si>
    <t>moths in bad shape, and mostly incomplete or many stuck together with flies</t>
  </si>
  <si>
    <t>MC Dom2</t>
  </si>
  <si>
    <t>many flies</t>
  </si>
  <si>
    <t>MC Co-Dom2</t>
  </si>
  <si>
    <t>trap destroyed by fallen tree, retrieved some moths found next to fallen/destroyed trap</t>
  </si>
  <si>
    <t>MC Low 2</t>
  </si>
  <si>
    <t>1 beetles, 8 flies, 1 worm</t>
  </si>
  <si>
    <t>Parc-nature de la Pointe-aux-Prairies</t>
  </si>
  <si>
    <t>PP Dom1</t>
  </si>
  <si>
    <t>PP Co-Dom1</t>
  </si>
  <si>
    <t>1 beetles</t>
  </si>
  <si>
    <t>some moths with fungus (on the abdomen)</t>
  </si>
  <si>
    <t>PP Low 1</t>
  </si>
  <si>
    <t>moths all intact, some fungus growing</t>
  </si>
  <si>
    <t>PP Dom2</t>
  </si>
  <si>
    <t>2 frogs</t>
  </si>
  <si>
    <t>medium amount if mush, some moths intact, 2 frogs (photographed)</t>
  </si>
  <si>
    <t>too many body parts and flies stuck together, unable to count- took the weight and put it in muck</t>
  </si>
  <si>
    <t>PP Co-Dom2</t>
  </si>
  <si>
    <t>3 beetles</t>
  </si>
  <si>
    <t>some beetles, a lot of moths, some intact, mostly in parts many in advanced stage of decomp, all very dry</t>
  </si>
  <si>
    <t>many lone wings in bad conditions, in pieces or all stuck together- to be considered when estimating number of wings</t>
  </si>
  <si>
    <t>PP Low 2</t>
  </si>
  <si>
    <t>2 flies, 2 ants</t>
  </si>
  <si>
    <t>some beetles, moths mostly intact</t>
  </si>
  <si>
    <t>Parc National Oka</t>
  </si>
  <si>
    <t>Oka Dom1</t>
  </si>
  <si>
    <t>Oka Co-Dom1</t>
  </si>
  <si>
    <t>6 flies</t>
  </si>
  <si>
    <t>send evan coordinates</t>
  </si>
  <si>
    <t>Oka Low 1</t>
  </si>
  <si>
    <t>heavy volume of beetles in trap, moths were in advanced stage of decay/broken up/eaten</t>
  </si>
  <si>
    <t>unable to distinguish the masses- all stuck together</t>
  </si>
  <si>
    <t>Oka Dom2</t>
  </si>
  <si>
    <t>Oka Co-Dom2</t>
  </si>
  <si>
    <t>live moth flew out of trap</t>
  </si>
  <si>
    <t>Oka Low 2</t>
  </si>
  <si>
    <t>moths in bad condition, many debris</t>
  </si>
  <si>
    <t>Mont Rigaud</t>
  </si>
  <si>
    <t>Rig Dom1</t>
  </si>
  <si>
    <t>2 beetles (nicrophorus tomentosus)</t>
  </si>
  <si>
    <t>many beetles as well- seems to be the more moisture, the more beetles</t>
  </si>
  <si>
    <t>moths in bad conditions</t>
  </si>
  <si>
    <t>Rig Co-Dom1</t>
  </si>
  <si>
    <t>Rig Low 1</t>
  </si>
  <si>
    <t>super wet and decomposed with lots of beetles, 1 moth genus lambdna</t>
  </si>
  <si>
    <t>ice in the bag, moths iall stuck together- can't count them</t>
  </si>
  <si>
    <t>Rig Dom2</t>
  </si>
  <si>
    <t xml:space="preserve">  </t>
  </si>
  <si>
    <t>Rig Co-Dom2</t>
  </si>
  <si>
    <t>1 beetle, 2 flies</t>
  </si>
  <si>
    <t>more beetles like at oka, 1 genus nadata moth</t>
  </si>
  <si>
    <t>Rig Low 2</t>
  </si>
  <si>
    <t>Brownsburg</t>
  </si>
  <si>
    <t>BC Dom1</t>
  </si>
  <si>
    <t>1 caterpillar</t>
  </si>
  <si>
    <t>1 beetle, 1 caterpillar (photographed)</t>
  </si>
  <si>
    <t>BC Co-Dom1</t>
  </si>
  <si>
    <t>a few beetles, 2 caterpillars</t>
  </si>
  <si>
    <t>BC Low 1</t>
  </si>
  <si>
    <t>tons of beetles, all decomp</t>
  </si>
  <si>
    <t>BC Dom2</t>
  </si>
  <si>
    <t>lots of beetles, some intact, much decomp</t>
  </si>
  <si>
    <t>BC Co-Dom2</t>
  </si>
  <si>
    <t>many beetles, some recoverable, many in advanced stage of decomp</t>
  </si>
  <si>
    <t>BC Low 2</t>
  </si>
  <si>
    <t>1 ant, 2 flies, 2 beetles, 1 lepidopteran</t>
  </si>
  <si>
    <t>tons beetles, most decomp, some intact</t>
  </si>
  <si>
    <t>non-spongy moth put in an envelope</t>
  </si>
  <si>
    <t>Notre Dame de Bonsecours</t>
  </si>
  <si>
    <t>NDB Dom1</t>
  </si>
  <si>
    <t>NO ENVELOPPE</t>
  </si>
  <si>
    <t>NDB Co-Dom1</t>
  </si>
  <si>
    <t>NDB Low 1</t>
  </si>
  <si>
    <t>NDB Dom2</t>
  </si>
  <si>
    <t>trap partially open, beetles and decomp material spilled on ground, tons of beetles, all decomp (but dried up prop because had been open and aired) 1 moth recovered, 1 non-spongy moth alive</t>
  </si>
  <si>
    <t>NDB Co-Dom2</t>
  </si>
  <si>
    <t>NDB Low 2</t>
  </si>
  <si>
    <t>bag with no tags</t>
  </si>
  <si>
    <t>Kenauk</t>
  </si>
  <si>
    <t>KNK Dom1</t>
  </si>
  <si>
    <t>a few beetles, 2 non-spongy moth (collected)</t>
  </si>
  <si>
    <t>KNK Co-Dom1</t>
  </si>
  <si>
    <t>traps dry</t>
  </si>
  <si>
    <t>KNK Low 1</t>
  </si>
  <si>
    <t>full of beetles, all moths in advanced stage of decomp, 1 live moth</t>
  </si>
  <si>
    <t>KNK Dom2</t>
  </si>
  <si>
    <t>1 beetle, 1 fly</t>
  </si>
  <si>
    <t>lots of beetles, moths largely intact, some decomp</t>
  </si>
  <si>
    <t>KNK Co-Dom2</t>
  </si>
  <si>
    <t>KNK Low 2</t>
  </si>
  <si>
    <t>Montebello</t>
  </si>
  <si>
    <t>Mont Dom1</t>
  </si>
  <si>
    <t>no spongy moth, 2 non-spongy</t>
  </si>
  <si>
    <t>Mont Co-Dom1</t>
  </si>
  <si>
    <t>trap still hanging, but opened, nothing but beetles visible on ground beneath it</t>
  </si>
  <si>
    <t>Mont Low 1</t>
  </si>
  <si>
    <t>Mont Dom2</t>
  </si>
  <si>
    <t>tons of beetles, only 1 recoverable moth, all else full decomp</t>
  </si>
  <si>
    <t>Mont Co-Dom2</t>
  </si>
  <si>
    <t>tons of beetles, all decomp moths</t>
  </si>
  <si>
    <t>Mont Low 2</t>
  </si>
  <si>
    <t>Papineauville</t>
  </si>
  <si>
    <t>Pap Dom1</t>
  </si>
  <si>
    <t>4 flies</t>
  </si>
  <si>
    <t>1 live non-spongy moth, afew beetles, otherwise moths in good shape</t>
  </si>
  <si>
    <t>Pap Co-Dom1</t>
  </si>
  <si>
    <t>wings stuck together- hard to count</t>
  </si>
  <si>
    <t>Pap Low 1</t>
  </si>
  <si>
    <t>lots of beetles, some recoverable moths, many in advanced stage of decomp</t>
  </si>
  <si>
    <t>wings in pieces- hard to count accurately, 1 non-spongy wing</t>
  </si>
  <si>
    <t>Pap Dom2</t>
  </si>
  <si>
    <t>many beetles, some moths intact, some in advanced stage of decomp, 1 non-spongy (photographed)</t>
  </si>
  <si>
    <t>moths in bad state</t>
  </si>
  <si>
    <t>Pap Co-Dom2</t>
  </si>
  <si>
    <t>full of beetles, advanced stage of decomp, nothing recoverable</t>
  </si>
  <si>
    <t>Pap Low 2</t>
  </si>
  <si>
    <t>Mass (g)</t>
  </si>
  <si>
    <t>"Muck" Amount</t>
  </si>
  <si>
    <t>medium</t>
  </si>
  <si>
    <t>0.0679 g beetles</t>
  </si>
  <si>
    <t>8 flies, 1 mite, 1 moth, 0.1994 g beetles</t>
  </si>
  <si>
    <t>low</t>
  </si>
  <si>
    <t>high</t>
  </si>
  <si>
    <t>very high</t>
  </si>
  <si>
    <t>many flies, 0.6885g beetles</t>
  </si>
  <si>
    <t>1.2346g beetles</t>
  </si>
  <si>
    <t>a few beetles, 1 non-spongy moth, 2 non-spongy caterpillars, moths in recoverable shape</t>
  </si>
  <si>
    <t>Total Moth Count</t>
  </si>
  <si>
    <t>In-tact Moths</t>
  </si>
  <si>
    <t>Heads</t>
  </si>
  <si>
    <t>Body</t>
  </si>
  <si>
    <t>Wings</t>
  </si>
  <si>
    <t>Wings/4</t>
  </si>
  <si>
    <t>Very High</t>
  </si>
  <si>
    <t>High</t>
  </si>
  <si>
    <t>Mid</t>
  </si>
  <si>
    <t>Moth Content</t>
  </si>
  <si>
    <t>Total Content</t>
  </si>
  <si>
    <t>Low</t>
  </si>
  <si>
    <t>Total consolidated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</si>
</sst>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"/>
  </numFmts>
  <fonts count="12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223654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9"/>
      <color rgb="FF1F1F1F"/>
      <name val="&quot;Google Sans&quot;"/>
    </font>
    <font>
      <sz val="12"/>
      <color theme="1"/>
      <name val="Calibri"/>
      <family val="2"/>
    </font>
    <font>
      <b/>
      <sz val="14"/>
      <color theme="1"/>
      <name val="Calibri (Body)"/>
    </font>
    <font>
      <sz val="14"/>
      <color theme="1"/>
      <name val="Calibri (Body)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0" xfId="0" applyFont="1"/>
    <xf numFmtId="164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6" fillId="0" borderId="0" xfId="0" applyNumberFormat="1" applyFont="1"/>
    <xf numFmtId="0" fontId="8" fillId="2" borderId="0" xfId="0" applyFont="1" applyFill="1"/>
    <xf numFmtId="0" fontId="4" fillId="3" borderId="0" xfId="0" applyFont="1" applyFill="1"/>
    <xf numFmtId="164" fontId="5" fillId="3" borderId="0" xfId="0" applyNumberFormat="1" applyFont="1" applyFill="1"/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  <xf numFmtId="164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1" fontId="9" fillId="0" borderId="0" xfId="0" applyNumberFormat="1" applyFont="1" applyAlignment="1">
      <alignment horizontal="right"/>
    </xf>
    <xf numFmtId="164" fontId="4" fillId="0" borderId="0" xfId="0" applyNumberFormat="1" applyFont="1"/>
    <xf numFmtId="164" fontId="7" fillId="0" borderId="0" xfId="0" applyNumberFormat="1" applyFont="1"/>
    <xf numFmtId="0" fontId="10" fillId="0" borderId="1" xfId="0" applyFont="1" applyBorder="1"/>
    <xf numFmtId="0" fontId="10" fillId="0" borderId="2" xfId="0" applyFont="1" applyBorder="1"/>
    <xf numFmtId="164" fontId="10" fillId="0" borderId="2" xfId="0" applyNumberFormat="1" applyFont="1" applyBorder="1"/>
    <xf numFmtId="0" fontId="10" fillId="0" borderId="3" xfId="0" applyFont="1" applyBorder="1"/>
    <xf numFmtId="0" fontId="10" fillId="0" borderId="4" xfId="0" applyFont="1" applyBorder="1"/>
    <xf numFmtId="0" fontId="10" fillId="0" borderId="0" xfId="0" applyFont="1"/>
    <xf numFmtId="0" fontId="11" fillId="0" borderId="0" xfId="0" applyFont="1"/>
    <xf numFmtId="1" fontId="7" fillId="0" borderId="0" xfId="0" applyNumberFormat="1" applyFont="1"/>
    <xf numFmtId="0" fontId="3" fillId="0" borderId="0" xfId="0" applyFont="1"/>
    <xf numFmtId="165" fontId="3" fillId="0" borderId="0" xfId="0" applyNumberFormat="1" applyFont="1"/>
    <xf numFmtId="0" fontId="3" fillId="3" borderId="0" xfId="0" applyFont="1" applyFill="1"/>
    <xf numFmtId="0" fontId="2" fillId="0" borderId="0" xfId="0" applyFont="1"/>
    <xf numFmtId="0" fontId="1" fillId="0" borderId="0" xfId="0" applyFont="1"/>
    <xf numFmtId="0" fontId="4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59"/>
  <sheetViews>
    <sheetView tabSelected="1" workbookViewId="0">
      <pane ySplit="1" topLeftCell="A2" activePane="bottomLeft" state="frozen"/>
      <selection pane="bottomLeft" activeCell="A2" sqref="A2:XFD2"/>
    </sheetView>
  </sheetViews>
  <sheetFormatPr baseColWidth="10" defaultColWidth="11.1640625" defaultRowHeight="15" customHeight="1"/>
  <cols>
    <col min="1" max="1" width="8.1640625" customWidth="1"/>
    <col min="2" max="2" width="29.1640625" customWidth="1"/>
    <col min="3" max="3" width="12" customWidth="1"/>
    <col min="4" max="4" width="14.5" customWidth="1"/>
    <col min="5" max="5" width="14.6640625" bestFit="1" customWidth="1"/>
    <col min="6" max="6" width="7.33203125" bestFit="1" customWidth="1"/>
    <col min="7" max="7" width="6.33203125" bestFit="1" customWidth="1"/>
    <col min="8" max="8" width="7.33203125" bestFit="1" customWidth="1"/>
    <col min="9" max="9" width="9.5" bestFit="1" customWidth="1"/>
    <col min="10" max="10" width="18.83203125" bestFit="1" customWidth="1"/>
    <col min="11" max="11" width="17.33203125" customWidth="1"/>
    <col min="12" max="12" width="17.33203125" bestFit="1" customWidth="1"/>
    <col min="13" max="14" width="17.33203125" customWidth="1"/>
    <col min="15" max="15" width="33.33203125" bestFit="1" customWidth="1"/>
    <col min="16" max="16" width="15.83203125" customWidth="1"/>
    <col min="17" max="17" width="131.6640625" customWidth="1"/>
    <col min="18" max="34" width="10.5" customWidth="1"/>
  </cols>
  <sheetData>
    <row r="1" spans="1:34" s="24" customFormat="1" ht="17" customHeight="1">
      <c r="A1" s="18" t="s">
        <v>0</v>
      </c>
      <c r="B1" s="19" t="s">
        <v>1</v>
      </c>
      <c r="C1" s="19" t="s">
        <v>2</v>
      </c>
      <c r="D1" s="20" t="s">
        <v>231</v>
      </c>
      <c r="E1" s="21" t="s">
        <v>243</v>
      </c>
      <c r="F1" s="19" t="s">
        <v>244</v>
      </c>
      <c r="G1" s="22" t="s">
        <v>245</v>
      </c>
      <c r="H1" s="22" t="s">
        <v>246</v>
      </c>
      <c r="I1" s="22" t="s">
        <v>247</v>
      </c>
      <c r="J1" s="22" t="s">
        <v>242</v>
      </c>
      <c r="K1" s="22" t="s">
        <v>251</v>
      </c>
      <c r="L1" s="22" t="s">
        <v>232</v>
      </c>
      <c r="M1" s="22" t="s">
        <v>252</v>
      </c>
      <c r="N1" s="22" t="s">
        <v>254</v>
      </c>
      <c r="O1" s="22" t="s">
        <v>3</v>
      </c>
      <c r="P1" s="22" t="s">
        <v>4</v>
      </c>
      <c r="Q1" s="22" t="s">
        <v>5</v>
      </c>
      <c r="R1" s="23" t="s">
        <v>6</v>
      </c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</row>
    <row r="2" spans="1:34" ht="15.75" customHeight="1">
      <c r="A2" s="1">
        <v>1</v>
      </c>
      <c r="B2" s="1" t="s">
        <v>7</v>
      </c>
      <c r="C2" s="31" t="s">
        <v>8</v>
      </c>
      <c r="D2" s="2">
        <v>3.9864999999999999</v>
      </c>
      <c r="E2" s="3">
        <v>52</v>
      </c>
      <c r="F2" s="4">
        <v>0</v>
      </c>
      <c r="G2" s="5">
        <v>0</v>
      </c>
      <c r="H2" s="5">
        <v>0</v>
      </c>
      <c r="I2" s="5">
        <f>H2/4</f>
        <v>0</v>
      </c>
      <c r="J2" s="5">
        <f>E2+G2+I2+1</f>
        <v>53</v>
      </c>
      <c r="K2" t="str">
        <f>IF(J2&lt;20,"Low", IF(AND(J2&gt;20,J2&lt;50),"Mid", IF(J2&gt;50,"High")))</f>
        <v>High</v>
      </c>
      <c r="M2" t="s">
        <v>249</v>
      </c>
      <c r="N2" s="30" t="s">
        <v>248</v>
      </c>
      <c r="Q2" s="5" t="s">
        <v>9</v>
      </c>
    </row>
    <row r="3" spans="1:34" ht="15.75" customHeight="1">
      <c r="A3" s="1">
        <v>1</v>
      </c>
      <c r="B3" s="1" t="s">
        <v>7</v>
      </c>
      <c r="C3" s="31" t="s">
        <v>10</v>
      </c>
      <c r="D3" s="2">
        <v>4.0594999999999999</v>
      </c>
      <c r="E3" s="3">
        <v>52</v>
      </c>
      <c r="F3" s="4">
        <v>0</v>
      </c>
      <c r="G3" s="5">
        <v>0</v>
      </c>
      <c r="H3" s="5">
        <v>0</v>
      </c>
      <c r="I3" s="5">
        <f t="shared" ref="I3:I66" si="0">H3/4</f>
        <v>0</v>
      </c>
      <c r="J3" s="5">
        <f t="shared" ref="J3:J66" si="1">E3+G3+I3</f>
        <v>52</v>
      </c>
      <c r="K3" t="str">
        <f t="shared" ref="K3:K66" si="2">IF(J3&lt;20,"Low", IF(AND(J3&gt;20,J3&lt;50),"Mid", IF(J3&gt;50,"High")))</f>
        <v>High</v>
      </c>
      <c r="M3" t="s">
        <v>249</v>
      </c>
      <c r="Q3" s="5"/>
    </row>
    <row r="4" spans="1:34" ht="15.75" customHeight="1">
      <c r="A4" s="1">
        <v>1</v>
      </c>
      <c r="B4" s="1" t="s">
        <v>7</v>
      </c>
      <c r="C4" s="1" t="s">
        <v>11</v>
      </c>
      <c r="D4" s="2">
        <v>6.0530999999999997</v>
      </c>
      <c r="E4" s="3">
        <v>76</v>
      </c>
      <c r="F4" s="4">
        <v>0</v>
      </c>
      <c r="G4" s="5">
        <v>1</v>
      </c>
      <c r="H4" s="5">
        <v>19</v>
      </c>
      <c r="I4" s="5">
        <f t="shared" si="0"/>
        <v>4.75</v>
      </c>
      <c r="J4" s="5">
        <f t="shared" si="1"/>
        <v>81.75</v>
      </c>
      <c r="K4" t="str">
        <f t="shared" si="2"/>
        <v>High</v>
      </c>
      <c r="M4" t="s">
        <v>249</v>
      </c>
      <c r="N4" t="s">
        <v>249</v>
      </c>
      <c r="O4" s="5" t="s">
        <v>12</v>
      </c>
      <c r="Q4" s="5" t="s">
        <v>13</v>
      </c>
    </row>
    <row r="5" spans="1:34" ht="15.75" customHeight="1">
      <c r="A5" s="1">
        <v>1</v>
      </c>
      <c r="B5" s="1" t="s">
        <v>7</v>
      </c>
      <c r="C5" s="32" t="s">
        <v>14</v>
      </c>
      <c r="D5" s="6">
        <v>3.3195000000000001</v>
      </c>
      <c r="E5" s="4">
        <v>54</v>
      </c>
      <c r="F5" s="4">
        <v>0</v>
      </c>
      <c r="G5" s="5">
        <v>0</v>
      </c>
      <c r="H5" s="5">
        <v>1</v>
      </c>
      <c r="I5" s="5">
        <f t="shared" si="0"/>
        <v>0.25</v>
      </c>
      <c r="J5" s="5">
        <f t="shared" si="1"/>
        <v>54.25</v>
      </c>
      <c r="K5" t="str">
        <f t="shared" si="2"/>
        <v>High</v>
      </c>
      <c r="M5" t="s">
        <v>249</v>
      </c>
      <c r="N5" s="30" t="s">
        <v>248</v>
      </c>
    </row>
    <row r="6" spans="1:34" ht="15.75" customHeight="1">
      <c r="A6" s="1">
        <v>1</v>
      </c>
      <c r="B6" s="1" t="s">
        <v>7</v>
      </c>
      <c r="C6" s="32" t="s">
        <v>14</v>
      </c>
      <c r="D6" s="6">
        <v>3.653</v>
      </c>
      <c r="E6" s="4">
        <v>56</v>
      </c>
      <c r="F6" s="4">
        <v>0</v>
      </c>
      <c r="G6" s="5">
        <v>0</v>
      </c>
      <c r="H6" s="5">
        <v>0</v>
      </c>
      <c r="I6" s="5">
        <f t="shared" si="0"/>
        <v>0</v>
      </c>
      <c r="J6" s="5">
        <f t="shared" si="1"/>
        <v>56</v>
      </c>
      <c r="K6" t="str">
        <f t="shared" si="2"/>
        <v>High</v>
      </c>
      <c r="M6" t="s">
        <v>249</v>
      </c>
    </row>
    <row r="7" spans="1:34" ht="15.75" customHeight="1">
      <c r="A7" s="1">
        <v>1</v>
      </c>
      <c r="B7" s="1" t="s">
        <v>7</v>
      </c>
      <c r="C7" s="31" t="s">
        <v>15</v>
      </c>
      <c r="D7" s="2">
        <v>3.8452999999999999</v>
      </c>
      <c r="E7" s="3">
        <v>47</v>
      </c>
      <c r="F7" s="4">
        <v>1</v>
      </c>
      <c r="G7" s="5">
        <v>1</v>
      </c>
      <c r="H7" s="5">
        <v>6</v>
      </c>
      <c r="I7" s="5">
        <f t="shared" si="0"/>
        <v>1.5</v>
      </c>
      <c r="J7" s="5">
        <f>E7+G7+I7+1</f>
        <v>50.5</v>
      </c>
      <c r="K7" t="str">
        <f t="shared" si="2"/>
        <v>High</v>
      </c>
      <c r="M7" t="s">
        <v>249</v>
      </c>
      <c r="N7" s="30" t="s">
        <v>248</v>
      </c>
      <c r="Q7" s="5" t="s">
        <v>16</v>
      </c>
    </row>
    <row r="8" spans="1:34" ht="15.75" customHeight="1">
      <c r="A8" s="1">
        <v>1</v>
      </c>
      <c r="B8" s="1" t="s">
        <v>7</v>
      </c>
      <c r="C8" s="31" t="s">
        <v>15</v>
      </c>
      <c r="D8" s="2">
        <v>4.7438000000000002</v>
      </c>
      <c r="E8" s="3">
        <v>52</v>
      </c>
      <c r="F8" s="4">
        <v>0</v>
      </c>
      <c r="G8" s="5">
        <v>1</v>
      </c>
      <c r="H8" s="5">
        <v>5</v>
      </c>
      <c r="I8" s="5">
        <f t="shared" si="0"/>
        <v>1.25</v>
      </c>
      <c r="J8" s="5">
        <f t="shared" si="1"/>
        <v>54.25</v>
      </c>
      <c r="K8" t="str">
        <f t="shared" si="2"/>
        <v>High</v>
      </c>
      <c r="M8" t="s">
        <v>249</v>
      </c>
      <c r="Q8" s="5"/>
    </row>
    <row r="9" spans="1:34" ht="15.75" customHeight="1">
      <c r="A9" s="1">
        <v>1</v>
      </c>
      <c r="B9" s="1" t="s">
        <v>7</v>
      </c>
      <c r="C9" s="1" t="s">
        <v>17</v>
      </c>
      <c r="D9" s="6">
        <v>2.0546000000000002</v>
      </c>
      <c r="E9" s="4">
        <v>57</v>
      </c>
      <c r="F9" s="4">
        <v>1</v>
      </c>
      <c r="G9" s="5">
        <v>0</v>
      </c>
      <c r="H9" s="5">
        <v>9</v>
      </c>
      <c r="I9" s="5">
        <f t="shared" si="0"/>
        <v>2.25</v>
      </c>
      <c r="J9" s="5">
        <f t="shared" si="1"/>
        <v>59.25</v>
      </c>
      <c r="K9" t="str">
        <f t="shared" si="2"/>
        <v>High</v>
      </c>
      <c r="L9" s="26" t="s">
        <v>233</v>
      </c>
      <c r="M9" s="29" t="s">
        <v>248</v>
      </c>
      <c r="N9" s="29" t="s">
        <v>248</v>
      </c>
      <c r="Q9" s="5" t="s">
        <v>18</v>
      </c>
    </row>
    <row r="10" spans="1:34" ht="15.75" customHeight="1">
      <c r="A10" s="1">
        <v>1</v>
      </c>
      <c r="B10" s="1" t="s">
        <v>7</v>
      </c>
      <c r="C10" s="32" t="s">
        <v>19</v>
      </c>
      <c r="D10" s="2">
        <v>2.5104000000000002</v>
      </c>
      <c r="E10" s="3">
        <v>53</v>
      </c>
      <c r="F10" s="4">
        <v>1</v>
      </c>
      <c r="G10" s="5">
        <v>0</v>
      </c>
      <c r="H10" s="5">
        <v>5</v>
      </c>
      <c r="I10" s="5">
        <f t="shared" si="0"/>
        <v>1.25</v>
      </c>
      <c r="J10" s="5">
        <f>E10+G10+I10+1</f>
        <v>55.25</v>
      </c>
      <c r="K10" t="str">
        <f t="shared" si="2"/>
        <v>High</v>
      </c>
      <c r="L10" s="5"/>
      <c r="M10" s="5" t="s">
        <v>249</v>
      </c>
      <c r="N10" s="5" t="s">
        <v>249</v>
      </c>
      <c r="O10" s="26" t="s">
        <v>234</v>
      </c>
      <c r="Q10" s="5" t="s">
        <v>20</v>
      </c>
      <c r="R10" s="5" t="s">
        <v>21</v>
      </c>
    </row>
    <row r="11" spans="1:34" ht="15.75" customHeight="1">
      <c r="A11" s="1">
        <v>1</v>
      </c>
      <c r="B11" s="1" t="s">
        <v>7</v>
      </c>
      <c r="C11" s="32" t="s">
        <v>19</v>
      </c>
      <c r="D11" s="2">
        <v>2.0924999999999998</v>
      </c>
      <c r="E11" s="3">
        <v>39</v>
      </c>
      <c r="F11" s="4">
        <v>0</v>
      </c>
      <c r="G11" s="5">
        <v>3</v>
      </c>
      <c r="H11" s="5">
        <v>13</v>
      </c>
      <c r="I11" s="5">
        <f t="shared" si="0"/>
        <v>3.25</v>
      </c>
      <c r="J11" s="5">
        <f t="shared" si="1"/>
        <v>45.25</v>
      </c>
      <c r="K11" t="str">
        <f t="shared" si="2"/>
        <v>Mid</v>
      </c>
      <c r="L11" s="5"/>
      <c r="M11" s="5" t="s">
        <v>250</v>
      </c>
      <c r="N11" s="5"/>
      <c r="Q11" s="5"/>
      <c r="R11" s="5"/>
    </row>
    <row r="12" spans="1:34" ht="15.75" customHeight="1">
      <c r="A12" s="1"/>
      <c r="B12" s="1"/>
      <c r="C12" s="1"/>
      <c r="D12" s="2"/>
      <c r="E12" s="3"/>
      <c r="F12" s="4"/>
      <c r="I12" s="5">
        <f t="shared" si="0"/>
        <v>0</v>
      </c>
      <c r="J12" s="5">
        <f t="shared" si="1"/>
        <v>0</v>
      </c>
      <c r="K12" t="str">
        <f t="shared" si="2"/>
        <v>Low</v>
      </c>
      <c r="M12" t="s">
        <v>253</v>
      </c>
      <c r="N12" t="s">
        <v>253</v>
      </c>
    </row>
    <row r="13" spans="1:34" ht="15.75" customHeight="1">
      <c r="A13" s="1">
        <v>2</v>
      </c>
      <c r="B13" s="1" t="s">
        <v>22</v>
      </c>
      <c r="C13" s="1" t="s">
        <v>23</v>
      </c>
      <c r="D13" s="2">
        <v>5.5970000000000004</v>
      </c>
      <c r="E13" s="3">
        <v>75</v>
      </c>
      <c r="F13" s="4">
        <v>0</v>
      </c>
      <c r="G13" s="5">
        <v>0</v>
      </c>
      <c r="H13" s="5">
        <v>0</v>
      </c>
      <c r="I13" s="5">
        <f t="shared" si="0"/>
        <v>0</v>
      </c>
      <c r="J13" s="5">
        <f>E13+G13+I13+1</f>
        <v>76</v>
      </c>
      <c r="K13" t="str">
        <f t="shared" si="2"/>
        <v>High</v>
      </c>
      <c r="L13" s="5"/>
      <c r="M13" s="5" t="s">
        <v>249</v>
      </c>
      <c r="N13" s="5" t="s">
        <v>249</v>
      </c>
      <c r="O13" s="5" t="s">
        <v>24</v>
      </c>
      <c r="Q13" s="5" t="s">
        <v>25</v>
      </c>
    </row>
    <row r="14" spans="1:34" ht="15.75" customHeight="1">
      <c r="A14" s="1">
        <v>2</v>
      </c>
      <c r="B14" s="1" t="s">
        <v>22</v>
      </c>
      <c r="C14" s="1" t="s">
        <v>26</v>
      </c>
      <c r="D14" s="2">
        <v>4.1306000000000003</v>
      </c>
      <c r="E14" s="3">
        <v>59</v>
      </c>
      <c r="F14" s="4">
        <v>1</v>
      </c>
      <c r="G14" s="5">
        <v>2</v>
      </c>
      <c r="H14" s="5">
        <v>7</v>
      </c>
      <c r="I14" s="5">
        <f t="shared" si="0"/>
        <v>1.75</v>
      </c>
      <c r="J14" s="5">
        <f t="shared" si="1"/>
        <v>62.75</v>
      </c>
      <c r="K14" t="str">
        <f t="shared" si="2"/>
        <v>High</v>
      </c>
      <c r="L14" s="5"/>
      <c r="M14" s="5" t="s">
        <v>249</v>
      </c>
      <c r="N14" s="5" t="s">
        <v>249</v>
      </c>
      <c r="O14" s="5" t="s">
        <v>27</v>
      </c>
      <c r="Q14" s="5" t="s">
        <v>28</v>
      </c>
    </row>
    <row r="15" spans="1:34" ht="15.75" customHeight="1">
      <c r="A15" s="1">
        <v>2</v>
      </c>
      <c r="B15" s="1" t="s">
        <v>22</v>
      </c>
      <c r="C15" s="1" t="s">
        <v>29</v>
      </c>
      <c r="D15" s="2">
        <v>1.0326</v>
      </c>
      <c r="E15" s="3">
        <v>17</v>
      </c>
      <c r="F15" s="4">
        <v>0</v>
      </c>
      <c r="G15" s="5">
        <v>1</v>
      </c>
      <c r="H15" s="5">
        <v>1</v>
      </c>
      <c r="I15" s="5">
        <f t="shared" si="0"/>
        <v>0.25</v>
      </c>
      <c r="J15" s="5">
        <f t="shared" si="1"/>
        <v>18.25</v>
      </c>
      <c r="K15" t="str">
        <f t="shared" si="2"/>
        <v>Low</v>
      </c>
      <c r="L15" s="5"/>
      <c r="M15" s="5" t="s">
        <v>253</v>
      </c>
      <c r="N15" s="5" t="s">
        <v>253</v>
      </c>
      <c r="O15" s="5">
        <v>0</v>
      </c>
      <c r="Q15" s="5" t="s">
        <v>30</v>
      </c>
    </row>
    <row r="16" spans="1:34" ht="15.75" customHeight="1">
      <c r="A16" s="1">
        <v>2</v>
      </c>
      <c r="B16" s="1" t="s">
        <v>22</v>
      </c>
      <c r="C16" s="1" t="s">
        <v>31</v>
      </c>
      <c r="D16" s="2">
        <v>3.5121000000000002</v>
      </c>
      <c r="E16" s="3">
        <v>38</v>
      </c>
      <c r="F16" s="4">
        <v>8</v>
      </c>
      <c r="G16" s="5">
        <v>9</v>
      </c>
      <c r="H16" s="5">
        <v>15</v>
      </c>
      <c r="I16" s="5">
        <f t="shared" si="0"/>
        <v>3.75</v>
      </c>
      <c r="J16" s="5">
        <f t="shared" si="1"/>
        <v>50.75</v>
      </c>
      <c r="K16" t="str">
        <f t="shared" si="2"/>
        <v>High</v>
      </c>
      <c r="L16" s="27" t="s">
        <v>236</v>
      </c>
      <c r="M16" s="27" t="s">
        <v>249</v>
      </c>
      <c r="N16" s="27" t="s">
        <v>249</v>
      </c>
      <c r="O16" s="26" t="s">
        <v>235</v>
      </c>
      <c r="Q16" s="5" t="s">
        <v>32</v>
      </c>
      <c r="R16" s="5" t="s">
        <v>33</v>
      </c>
    </row>
    <row r="17" spans="1:18" ht="15.75" customHeight="1">
      <c r="A17" s="1">
        <v>2</v>
      </c>
      <c r="B17" s="1" t="s">
        <v>22</v>
      </c>
      <c r="C17" s="1" t="s">
        <v>34</v>
      </c>
      <c r="D17" s="2">
        <v>1.6473</v>
      </c>
      <c r="E17" s="3">
        <v>29</v>
      </c>
      <c r="F17" s="4">
        <v>1</v>
      </c>
      <c r="G17" s="5">
        <v>2</v>
      </c>
      <c r="H17" s="5">
        <v>1</v>
      </c>
      <c r="I17" s="5">
        <f t="shared" si="0"/>
        <v>0.25</v>
      </c>
      <c r="J17" s="5">
        <f>E17+G17+I17+3</f>
        <v>34.25</v>
      </c>
      <c r="K17" t="str">
        <f t="shared" si="2"/>
        <v>Mid</v>
      </c>
      <c r="L17" s="26" t="s">
        <v>237</v>
      </c>
      <c r="M17" s="29" t="s">
        <v>249</v>
      </c>
      <c r="N17" s="29" t="s">
        <v>249</v>
      </c>
      <c r="O17" s="5">
        <v>0</v>
      </c>
      <c r="Q17" s="5" t="s">
        <v>35</v>
      </c>
    </row>
    <row r="18" spans="1:18" ht="15.75" customHeight="1">
      <c r="A18" s="1">
        <v>2</v>
      </c>
      <c r="B18" s="1" t="s">
        <v>22</v>
      </c>
      <c r="C18" s="1" t="s">
        <v>36</v>
      </c>
      <c r="D18" s="2">
        <v>0.6129</v>
      </c>
      <c r="E18" s="3">
        <v>0</v>
      </c>
      <c r="F18" s="4">
        <v>12</v>
      </c>
      <c r="G18" s="5">
        <v>0</v>
      </c>
      <c r="H18" s="5">
        <v>129</v>
      </c>
      <c r="I18" s="5">
        <f t="shared" si="0"/>
        <v>32.25</v>
      </c>
      <c r="J18" s="5">
        <f t="shared" si="1"/>
        <v>32.25</v>
      </c>
      <c r="K18" t="str">
        <f t="shared" si="2"/>
        <v>Mid</v>
      </c>
      <c r="L18" s="26" t="s">
        <v>236</v>
      </c>
      <c r="M18" s="26" t="s">
        <v>250</v>
      </c>
      <c r="N18" s="26" t="s">
        <v>250</v>
      </c>
      <c r="O18" s="5" t="s">
        <v>37</v>
      </c>
      <c r="Q18" s="5" t="s">
        <v>38</v>
      </c>
      <c r="R18" s="5" t="s">
        <v>39</v>
      </c>
    </row>
    <row r="19" spans="1:18" ht="15.75" customHeight="1">
      <c r="D19" s="2"/>
      <c r="E19" s="3"/>
      <c r="F19" s="4"/>
      <c r="I19" s="5">
        <f t="shared" si="0"/>
        <v>0</v>
      </c>
      <c r="J19" s="5">
        <f t="shared" si="1"/>
        <v>0</v>
      </c>
      <c r="K19" t="str">
        <f t="shared" si="2"/>
        <v>Low</v>
      </c>
      <c r="M19" t="s">
        <v>253</v>
      </c>
      <c r="N19" t="s">
        <v>253</v>
      </c>
    </row>
    <row r="20" spans="1:18" ht="15.75" customHeight="1">
      <c r="A20" s="1">
        <v>3</v>
      </c>
      <c r="B20" s="1" t="s">
        <v>40</v>
      </c>
      <c r="C20" s="1" t="s">
        <v>41</v>
      </c>
      <c r="D20" s="2">
        <v>2.1985999999999999</v>
      </c>
      <c r="E20" s="3">
        <v>31</v>
      </c>
      <c r="F20" s="4">
        <v>0</v>
      </c>
      <c r="G20" s="5">
        <v>2</v>
      </c>
      <c r="H20" s="5">
        <v>9</v>
      </c>
      <c r="I20" s="5">
        <f t="shared" si="0"/>
        <v>2.25</v>
      </c>
      <c r="J20" s="5">
        <f t="shared" si="1"/>
        <v>35.25</v>
      </c>
      <c r="K20" t="str">
        <f t="shared" si="2"/>
        <v>Mid</v>
      </c>
      <c r="M20" t="s">
        <v>250</v>
      </c>
      <c r="N20" t="s">
        <v>250</v>
      </c>
      <c r="Q20" s="5" t="s">
        <v>13</v>
      </c>
    </row>
    <row r="21" spans="1:18" ht="15.75" customHeight="1">
      <c r="A21" s="1">
        <v>3</v>
      </c>
      <c r="B21" s="1" t="s">
        <v>40</v>
      </c>
      <c r="C21" s="1" t="s">
        <v>42</v>
      </c>
      <c r="D21" s="6">
        <v>1.9343999999999999</v>
      </c>
      <c r="E21" s="4">
        <v>23</v>
      </c>
      <c r="F21" s="4">
        <v>0</v>
      </c>
      <c r="G21" s="5">
        <v>1</v>
      </c>
      <c r="H21" s="5">
        <v>5</v>
      </c>
      <c r="I21" s="5">
        <f t="shared" si="0"/>
        <v>1.25</v>
      </c>
      <c r="J21" s="5">
        <f t="shared" si="1"/>
        <v>25.25</v>
      </c>
      <c r="K21" t="str">
        <f t="shared" si="2"/>
        <v>Mid</v>
      </c>
      <c r="L21" s="26" t="s">
        <v>236</v>
      </c>
      <c r="M21" s="26" t="s">
        <v>250</v>
      </c>
      <c r="N21" s="26" t="s">
        <v>250</v>
      </c>
      <c r="O21" s="5" t="s">
        <v>43</v>
      </c>
      <c r="Q21" s="5" t="s">
        <v>13</v>
      </c>
    </row>
    <row r="22" spans="1:18" ht="15.75" customHeight="1">
      <c r="A22" s="1">
        <v>3</v>
      </c>
      <c r="B22" s="1" t="s">
        <v>40</v>
      </c>
      <c r="C22" s="1" t="s">
        <v>44</v>
      </c>
      <c r="D22" s="6">
        <v>3.6383000000000001</v>
      </c>
      <c r="E22" s="4">
        <v>40</v>
      </c>
      <c r="F22" s="4">
        <v>0</v>
      </c>
      <c r="G22" s="5">
        <v>0</v>
      </c>
      <c r="H22" s="5">
        <v>2</v>
      </c>
      <c r="I22" s="5">
        <f t="shared" si="0"/>
        <v>0.5</v>
      </c>
      <c r="J22" s="5">
        <f t="shared" si="1"/>
        <v>40.5</v>
      </c>
      <c r="K22" t="str">
        <f t="shared" si="2"/>
        <v>Mid</v>
      </c>
      <c r="L22" s="26" t="s">
        <v>236</v>
      </c>
      <c r="M22" s="26" t="s">
        <v>250</v>
      </c>
      <c r="N22" s="26" t="s">
        <v>250</v>
      </c>
    </row>
    <row r="23" spans="1:18" ht="15.75" customHeight="1">
      <c r="A23" s="1">
        <v>3</v>
      </c>
      <c r="B23" s="1" t="s">
        <v>40</v>
      </c>
      <c r="C23" s="1" t="s">
        <v>45</v>
      </c>
      <c r="D23" s="6">
        <v>2.4981</v>
      </c>
      <c r="E23" s="4">
        <v>35</v>
      </c>
      <c r="F23" s="4">
        <v>0</v>
      </c>
      <c r="G23" s="5">
        <v>3</v>
      </c>
      <c r="H23" s="5">
        <v>12</v>
      </c>
      <c r="I23" s="5">
        <f t="shared" si="0"/>
        <v>3</v>
      </c>
      <c r="J23" s="5">
        <f>E23+G23+I23+1</f>
        <v>42</v>
      </c>
      <c r="K23" t="str">
        <f t="shared" si="2"/>
        <v>Mid</v>
      </c>
      <c r="M23" t="s">
        <v>250</v>
      </c>
      <c r="N23" t="s">
        <v>250</v>
      </c>
      <c r="Q23" s="5" t="s">
        <v>46</v>
      </c>
    </row>
    <row r="24" spans="1:18" ht="15.75" customHeight="1">
      <c r="A24" s="1">
        <v>3</v>
      </c>
      <c r="B24" s="1" t="s">
        <v>40</v>
      </c>
      <c r="C24" s="1" t="s">
        <v>47</v>
      </c>
      <c r="D24" s="6">
        <v>1.0275000000000001</v>
      </c>
      <c r="E24" s="4">
        <v>9</v>
      </c>
      <c r="F24" s="4">
        <v>1</v>
      </c>
      <c r="G24" s="5">
        <v>4</v>
      </c>
      <c r="H24" s="5">
        <v>10</v>
      </c>
      <c r="I24" s="5">
        <f t="shared" si="0"/>
        <v>2.5</v>
      </c>
      <c r="J24" s="5">
        <f t="shared" si="1"/>
        <v>15.5</v>
      </c>
      <c r="K24" t="str">
        <f t="shared" si="2"/>
        <v>Low</v>
      </c>
      <c r="L24" s="26" t="s">
        <v>236</v>
      </c>
      <c r="M24" s="26" t="s">
        <v>253</v>
      </c>
      <c r="N24" s="26" t="s">
        <v>253</v>
      </c>
      <c r="Q24" s="5" t="s">
        <v>13</v>
      </c>
    </row>
    <row r="25" spans="1:18" ht="15.75" customHeight="1">
      <c r="A25" s="1">
        <v>3</v>
      </c>
      <c r="B25" s="1" t="s">
        <v>40</v>
      </c>
      <c r="C25" s="1" t="s">
        <v>48</v>
      </c>
      <c r="D25" s="6">
        <v>2.9504000000000001</v>
      </c>
      <c r="E25" s="4">
        <v>44</v>
      </c>
      <c r="F25" s="4">
        <v>0</v>
      </c>
      <c r="G25" s="5">
        <v>1</v>
      </c>
      <c r="H25" s="5">
        <v>4</v>
      </c>
      <c r="I25" s="5">
        <f t="shared" si="0"/>
        <v>1</v>
      </c>
      <c r="J25" s="5">
        <f t="shared" si="1"/>
        <v>46</v>
      </c>
      <c r="K25" t="str">
        <f t="shared" si="2"/>
        <v>Mid</v>
      </c>
      <c r="M25" t="s">
        <v>250</v>
      </c>
      <c r="N25" t="s">
        <v>250</v>
      </c>
    </row>
    <row r="26" spans="1:18" ht="15.75" customHeight="1">
      <c r="D26" s="6"/>
      <c r="E26" s="4"/>
      <c r="F26" s="4"/>
      <c r="I26" s="5">
        <f t="shared" si="0"/>
        <v>0</v>
      </c>
      <c r="J26" s="5">
        <f t="shared" si="1"/>
        <v>0</v>
      </c>
      <c r="K26" t="str">
        <f t="shared" si="2"/>
        <v>Low</v>
      </c>
      <c r="M26" t="s">
        <v>253</v>
      </c>
      <c r="N26" t="s">
        <v>253</v>
      </c>
    </row>
    <row r="27" spans="1:18" ht="15.75" customHeight="1">
      <c r="A27" s="1">
        <v>4</v>
      </c>
      <c r="B27" s="1" t="s">
        <v>49</v>
      </c>
      <c r="C27" s="1" t="s">
        <v>50</v>
      </c>
      <c r="D27" s="2">
        <v>2.2905000000000002</v>
      </c>
      <c r="E27" s="3">
        <v>40</v>
      </c>
      <c r="F27" s="4">
        <v>0</v>
      </c>
      <c r="G27" s="5">
        <v>0</v>
      </c>
      <c r="H27" s="5">
        <v>0</v>
      </c>
      <c r="I27" s="5">
        <f t="shared" si="0"/>
        <v>0</v>
      </c>
      <c r="J27" s="5">
        <f t="shared" si="1"/>
        <v>40</v>
      </c>
      <c r="K27" t="str">
        <f t="shared" si="2"/>
        <v>Mid</v>
      </c>
      <c r="M27" t="s">
        <v>250</v>
      </c>
      <c r="N27" t="s">
        <v>250</v>
      </c>
      <c r="O27" s="5" t="s">
        <v>51</v>
      </c>
    </row>
    <row r="28" spans="1:18" ht="15.75" customHeight="1">
      <c r="A28" s="1">
        <v>4</v>
      </c>
      <c r="B28" s="1" t="s">
        <v>49</v>
      </c>
      <c r="C28" s="31" t="s">
        <v>52</v>
      </c>
      <c r="D28" s="6">
        <v>4.9919000000000002</v>
      </c>
      <c r="E28" s="4">
        <v>79</v>
      </c>
      <c r="F28" s="4">
        <v>0</v>
      </c>
      <c r="G28" s="5">
        <v>2</v>
      </c>
      <c r="H28" s="5">
        <v>8</v>
      </c>
      <c r="I28" s="5">
        <f t="shared" si="0"/>
        <v>2</v>
      </c>
      <c r="J28" s="5">
        <f t="shared" si="1"/>
        <v>83</v>
      </c>
      <c r="K28" t="str">
        <f t="shared" si="2"/>
        <v>High</v>
      </c>
      <c r="M28" t="s">
        <v>249</v>
      </c>
      <c r="N28" s="30" t="s">
        <v>248</v>
      </c>
      <c r="O28" s="5" t="s">
        <v>53</v>
      </c>
    </row>
    <row r="29" spans="1:18" ht="15.75" customHeight="1">
      <c r="A29" s="1">
        <v>4</v>
      </c>
      <c r="B29" s="1" t="s">
        <v>49</v>
      </c>
      <c r="C29" s="31" t="s">
        <v>52</v>
      </c>
      <c r="D29" s="6">
        <v>3.9445000000000001</v>
      </c>
      <c r="E29" s="4">
        <v>67</v>
      </c>
      <c r="F29" s="4">
        <v>0</v>
      </c>
      <c r="G29" s="5">
        <v>0</v>
      </c>
      <c r="H29" s="5">
        <v>7</v>
      </c>
      <c r="I29" s="5">
        <f t="shared" si="0"/>
        <v>1.75</v>
      </c>
      <c r="J29" s="5">
        <f t="shared" si="1"/>
        <v>68.75</v>
      </c>
      <c r="K29" t="str">
        <f t="shared" si="2"/>
        <v>High</v>
      </c>
      <c r="M29" t="s">
        <v>249</v>
      </c>
      <c r="O29" s="5"/>
    </row>
    <row r="30" spans="1:18" ht="15.75" customHeight="1">
      <c r="A30" s="1">
        <v>4</v>
      </c>
      <c r="B30" s="1" t="s">
        <v>49</v>
      </c>
      <c r="C30" s="32" t="s">
        <v>54</v>
      </c>
      <c r="D30" s="2">
        <v>3.0232000000000001</v>
      </c>
      <c r="E30" s="3">
        <v>60</v>
      </c>
      <c r="F30" s="4">
        <v>0</v>
      </c>
      <c r="G30" s="5">
        <v>5</v>
      </c>
      <c r="H30" s="5">
        <v>21</v>
      </c>
      <c r="I30" s="5">
        <f t="shared" si="0"/>
        <v>5.25</v>
      </c>
      <c r="J30" s="5">
        <f>E30+G30+I30+1</f>
        <v>71.25</v>
      </c>
      <c r="K30" t="str">
        <f t="shared" si="2"/>
        <v>High</v>
      </c>
      <c r="M30" t="s">
        <v>249</v>
      </c>
      <c r="N30" s="30" t="s">
        <v>248</v>
      </c>
      <c r="O30" s="5" t="s">
        <v>55</v>
      </c>
      <c r="Q30" s="5" t="s">
        <v>56</v>
      </c>
    </row>
    <row r="31" spans="1:18" ht="15.75" customHeight="1">
      <c r="A31" s="1">
        <v>4</v>
      </c>
      <c r="B31" s="1" t="s">
        <v>49</v>
      </c>
      <c r="C31" s="32" t="s">
        <v>54</v>
      </c>
      <c r="D31" s="2">
        <v>4.0099</v>
      </c>
      <c r="E31" s="3">
        <v>64</v>
      </c>
      <c r="F31" s="4">
        <v>0</v>
      </c>
      <c r="G31" s="5">
        <v>1</v>
      </c>
      <c r="H31" s="5">
        <v>6</v>
      </c>
      <c r="I31" s="5">
        <f t="shared" si="0"/>
        <v>1.5</v>
      </c>
      <c r="J31" s="5">
        <f t="shared" si="1"/>
        <v>66.5</v>
      </c>
      <c r="K31" t="str">
        <f t="shared" si="2"/>
        <v>High</v>
      </c>
      <c r="M31" t="s">
        <v>249</v>
      </c>
      <c r="O31" s="5" t="s">
        <v>57</v>
      </c>
      <c r="Q31" s="5"/>
    </row>
    <row r="32" spans="1:18" ht="15.75" customHeight="1">
      <c r="A32" s="1">
        <v>4</v>
      </c>
      <c r="B32" s="1" t="s">
        <v>49</v>
      </c>
      <c r="C32" s="1" t="s">
        <v>58</v>
      </c>
      <c r="D32" s="2">
        <v>3.5217000000000001</v>
      </c>
      <c r="E32" s="3">
        <v>80</v>
      </c>
      <c r="F32" s="4">
        <v>0</v>
      </c>
      <c r="G32" s="5">
        <v>1</v>
      </c>
      <c r="H32" s="5">
        <v>20</v>
      </c>
      <c r="I32" s="5">
        <f t="shared" si="0"/>
        <v>5</v>
      </c>
      <c r="J32" s="5">
        <f t="shared" si="1"/>
        <v>86</v>
      </c>
      <c r="K32" t="str">
        <f t="shared" si="2"/>
        <v>High</v>
      </c>
      <c r="M32" t="s">
        <v>249</v>
      </c>
      <c r="N32" t="s">
        <v>249</v>
      </c>
      <c r="O32" s="5" t="s">
        <v>59</v>
      </c>
      <c r="Q32" s="5" t="s">
        <v>60</v>
      </c>
    </row>
    <row r="33" spans="1:18" ht="15.75" customHeight="1">
      <c r="A33" s="1">
        <v>4</v>
      </c>
      <c r="B33" s="1" t="s">
        <v>49</v>
      </c>
      <c r="C33" s="31" t="s">
        <v>61</v>
      </c>
      <c r="D33" s="2">
        <v>4.3304999999999998</v>
      </c>
      <c r="E33" s="3">
        <v>82</v>
      </c>
      <c r="F33" s="4">
        <v>3</v>
      </c>
      <c r="G33" s="5">
        <v>3</v>
      </c>
      <c r="H33" s="5">
        <v>25</v>
      </c>
      <c r="I33" s="5">
        <f t="shared" si="0"/>
        <v>6.25</v>
      </c>
      <c r="J33" s="5">
        <f t="shared" si="1"/>
        <v>91.25</v>
      </c>
      <c r="K33" t="str">
        <f t="shared" si="2"/>
        <v>High</v>
      </c>
      <c r="M33" t="s">
        <v>249</v>
      </c>
      <c r="N33" s="30" t="s">
        <v>248</v>
      </c>
      <c r="O33" s="5" t="s">
        <v>62</v>
      </c>
    </row>
    <row r="34" spans="1:18" ht="15.75" customHeight="1">
      <c r="A34" s="1">
        <v>4</v>
      </c>
      <c r="B34" s="1" t="s">
        <v>49</v>
      </c>
      <c r="C34" s="31" t="s">
        <v>61</v>
      </c>
      <c r="D34" s="2">
        <v>3.5632999999999999</v>
      </c>
      <c r="E34" s="3">
        <v>75</v>
      </c>
      <c r="F34" s="4">
        <v>0</v>
      </c>
      <c r="G34" s="5">
        <v>1</v>
      </c>
      <c r="H34" s="5">
        <v>6</v>
      </c>
      <c r="I34" s="5">
        <f t="shared" si="0"/>
        <v>1.5</v>
      </c>
      <c r="J34" s="5">
        <f t="shared" si="1"/>
        <v>77.5</v>
      </c>
      <c r="K34" t="str">
        <f t="shared" si="2"/>
        <v>High</v>
      </c>
      <c r="M34" t="s">
        <v>249</v>
      </c>
      <c r="O34" s="5"/>
    </row>
    <row r="35" spans="1:18" ht="15.75" customHeight="1">
      <c r="A35" s="1">
        <v>4</v>
      </c>
      <c r="B35" s="1" t="s">
        <v>49</v>
      </c>
      <c r="C35" s="32" t="s">
        <v>63</v>
      </c>
      <c r="D35" s="2">
        <v>3.8856000000000002</v>
      </c>
      <c r="E35" s="3">
        <v>76</v>
      </c>
      <c r="F35" s="4">
        <v>0</v>
      </c>
      <c r="G35" s="5">
        <v>0</v>
      </c>
      <c r="H35" s="5">
        <v>5</v>
      </c>
      <c r="I35" s="5">
        <f t="shared" si="0"/>
        <v>1.25</v>
      </c>
      <c r="J35" s="5">
        <f t="shared" si="1"/>
        <v>77.25</v>
      </c>
      <c r="K35" t="str">
        <f t="shared" si="2"/>
        <v>High</v>
      </c>
      <c r="M35" t="s">
        <v>249</v>
      </c>
      <c r="N35" s="30" t="s">
        <v>248</v>
      </c>
      <c r="Q35" s="5" t="s">
        <v>64</v>
      </c>
    </row>
    <row r="36" spans="1:18" ht="15.75" customHeight="1">
      <c r="A36" s="1">
        <v>4</v>
      </c>
      <c r="B36" s="1" t="s">
        <v>49</v>
      </c>
      <c r="C36" s="32" t="s">
        <v>63</v>
      </c>
      <c r="D36" s="2">
        <v>2.5537999999999998</v>
      </c>
      <c r="E36" s="3">
        <v>53</v>
      </c>
      <c r="F36" s="4">
        <v>1</v>
      </c>
      <c r="G36" s="5">
        <v>1</v>
      </c>
      <c r="H36" s="5">
        <v>5</v>
      </c>
      <c r="I36" s="5">
        <f t="shared" si="0"/>
        <v>1.25</v>
      </c>
      <c r="J36" s="5">
        <f t="shared" si="1"/>
        <v>55.25</v>
      </c>
      <c r="K36" t="str">
        <f t="shared" si="2"/>
        <v>High</v>
      </c>
      <c r="M36" t="s">
        <v>249</v>
      </c>
      <c r="Q36" s="5"/>
    </row>
    <row r="37" spans="1:18" ht="15.75" customHeight="1">
      <c r="D37" s="2"/>
      <c r="E37" s="3"/>
      <c r="F37" s="4"/>
      <c r="I37" s="5">
        <f t="shared" si="0"/>
        <v>0</v>
      </c>
      <c r="J37" s="5">
        <f t="shared" si="1"/>
        <v>0</v>
      </c>
      <c r="K37" t="str">
        <f t="shared" si="2"/>
        <v>Low</v>
      </c>
      <c r="M37" t="s">
        <v>253</v>
      </c>
      <c r="N37" t="s">
        <v>253</v>
      </c>
    </row>
    <row r="38" spans="1:18" ht="15.75" customHeight="1">
      <c r="A38" s="1">
        <v>5</v>
      </c>
      <c r="B38" s="1" t="s">
        <v>65</v>
      </c>
      <c r="C38" s="1" t="s">
        <v>66</v>
      </c>
      <c r="D38" s="2">
        <v>1.1257999999999999</v>
      </c>
      <c r="E38" s="3">
        <v>26</v>
      </c>
      <c r="F38" s="4">
        <v>0</v>
      </c>
      <c r="G38" s="5">
        <v>0</v>
      </c>
      <c r="H38" s="5">
        <v>3</v>
      </c>
      <c r="I38" s="5">
        <f t="shared" si="0"/>
        <v>0.75</v>
      </c>
      <c r="J38" s="5">
        <f t="shared" si="1"/>
        <v>26.75</v>
      </c>
      <c r="K38" t="str">
        <f t="shared" si="2"/>
        <v>Mid</v>
      </c>
      <c r="M38" t="s">
        <v>250</v>
      </c>
      <c r="N38" t="s">
        <v>250</v>
      </c>
      <c r="Q38" s="5" t="s">
        <v>43</v>
      </c>
    </row>
    <row r="39" spans="1:18" ht="15.75" customHeight="1">
      <c r="A39" s="1">
        <v>5</v>
      </c>
      <c r="B39" s="1" t="s">
        <v>65</v>
      </c>
      <c r="C39" s="1" t="s">
        <v>67</v>
      </c>
      <c r="D39" s="2">
        <v>0.21990000000000001</v>
      </c>
      <c r="E39" s="3">
        <v>6</v>
      </c>
      <c r="F39" s="4">
        <v>0</v>
      </c>
      <c r="G39" s="5">
        <v>0</v>
      </c>
      <c r="H39" s="5">
        <v>2</v>
      </c>
      <c r="I39" s="5">
        <f t="shared" si="0"/>
        <v>0.5</v>
      </c>
      <c r="J39" s="5">
        <f t="shared" si="1"/>
        <v>6.5</v>
      </c>
      <c r="K39" t="str">
        <f t="shared" si="2"/>
        <v>Low</v>
      </c>
      <c r="M39" t="s">
        <v>253</v>
      </c>
      <c r="N39" t="s">
        <v>253</v>
      </c>
      <c r="Q39" s="5" t="s">
        <v>43</v>
      </c>
    </row>
    <row r="40" spans="1:18" ht="15.75" customHeight="1">
      <c r="A40" s="1">
        <v>5</v>
      </c>
      <c r="B40" s="1" t="s">
        <v>65</v>
      </c>
      <c r="C40" s="1" t="s">
        <v>68</v>
      </c>
      <c r="D40" s="2">
        <v>0.53129999999999999</v>
      </c>
      <c r="E40" s="3">
        <v>12</v>
      </c>
      <c r="F40" s="4">
        <v>0</v>
      </c>
      <c r="G40" s="5">
        <v>0</v>
      </c>
      <c r="H40" s="5">
        <v>1</v>
      </c>
      <c r="I40" s="5">
        <f t="shared" si="0"/>
        <v>0.25</v>
      </c>
      <c r="J40" s="5">
        <f t="shared" si="1"/>
        <v>12.25</v>
      </c>
      <c r="K40" t="str">
        <f t="shared" si="2"/>
        <v>Low</v>
      </c>
      <c r="M40" t="s">
        <v>253</v>
      </c>
      <c r="N40" t="s">
        <v>253</v>
      </c>
    </row>
    <row r="41" spans="1:18" ht="15.75" customHeight="1">
      <c r="A41" s="1">
        <v>5</v>
      </c>
      <c r="B41" s="1" t="s">
        <v>65</v>
      </c>
      <c r="C41" s="1" t="s">
        <v>69</v>
      </c>
      <c r="D41" s="2">
        <v>1.0114000000000001</v>
      </c>
      <c r="E41" s="3">
        <v>24</v>
      </c>
      <c r="F41" s="4">
        <v>6</v>
      </c>
      <c r="G41" s="5">
        <v>1</v>
      </c>
      <c r="H41" s="5">
        <v>15</v>
      </c>
      <c r="I41" s="5">
        <f t="shared" si="0"/>
        <v>3.75</v>
      </c>
      <c r="J41" s="5">
        <f>E41+G41+F41</f>
        <v>31</v>
      </c>
      <c r="K41" t="str">
        <f t="shared" si="2"/>
        <v>Mid</v>
      </c>
      <c r="L41" s="26" t="s">
        <v>237</v>
      </c>
      <c r="M41" s="29" t="s">
        <v>249</v>
      </c>
      <c r="N41" s="29" t="s">
        <v>249</v>
      </c>
      <c r="P41" s="5" t="s">
        <v>70</v>
      </c>
      <c r="Q41" s="5" t="s">
        <v>71</v>
      </c>
      <c r="R41" s="7" t="s">
        <v>72</v>
      </c>
    </row>
    <row r="42" spans="1:18" ht="15.75" customHeight="1">
      <c r="A42" s="1">
        <v>5</v>
      </c>
      <c r="B42" s="1" t="s">
        <v>65</v>
      </c>
      <c r="C42" s="1" t="s">
        <v>73</v>
      </c>
      <c r="D42" s="2">
        <v>0.1104</v>
      </c>
      <c r="E42" s="3">
        <v>2</v>
      </c>
      <c r="F42" s="4">
        <v>2</v>
      </c>
      <c r="G42" s="5">
        <v>3</v>
      </c>
      <c r="H42" s="5">
        <v>6</v>
      </c>
      <c r="I42" s="5">
        <f t="shared" si="0"/>
        <v>1.5</v>
      </c>
      <c r="J42" s="5">
        <f t="shared" si="1"/>
        <v>6.5</v>
      </c>
      <c r="K42" t="str">
        <f t="shared" si="2"/>
        <v>Low</v>
      </c>
      <c r="L42" s="26" t="s">
        <v>236</v>
      </c>
      <c r="M42" s="26" t="s">
        <v>253</v>
      </c>
      <c r="N42" s="26" t="s">
        <v>253</v>
      </c>
      <c r="Q42" s="5" t="s">
        <v>74</v>
      </c>
    </row>
    <row r="43" spans="1:18" ht="15.75" customHeight="1">
      <c r="A43" s="1">
        <v>5</v>
      </c>
      <c r="B43" s="1" t="s">
        <v>65</v>
      </c>
      <c r="C43" s="1" t="s">
        <v>75</v>
      </c>
      <c r="D43" s="2" t="s">
        <v>76</v>
      </c>
      <c r="E43" s="3">
        <v>0</v>
      </c>
      <c r="F43" s="4">
        <v>0</v>
      </c>
      <c r="G43" s="5">
        <v>0</v>
      </c>
      <c r="H43" s="5">
        <v>0</v>
      </c>
      <c r="I43" s="5">
        <f t="shared" si="0"/>
        <v>0</v>
      </c>
      <c r="J43" s="5">
        <f t="shared" si="1"/>
        <v>0</v>
      </c>
      <c r="K43" t="str">
        <f t="shared" si="2"/>
        <v>Low</v>
      </c>
      <c r="L43" s="26" t="s">
        <v>233</v>
      </c>
      <c r="M43" s="29" t="s">
        <v>250</v>
      </c>
      <c r="N43" s="29" t="s">
        <v>250</v>
      </c>
      <c r="Q43" s="5" t="s">
        <v>77</v>
      </c>
    </row>
    <row r="44" spans="1:18" ht="15.75" customHeight="1">
      <c r="A44" s="1"/>
      <c r="B44" s="1"/>
      <c r="C44" s="1"/>
      <c r="D44" s="2"/>
      <c r="E44" s="3"/>
      <c r="F44" s="4"/>
      <c r="I44" s="5">
        <f t="shared" si="0"/>
        <v>0</v>
      </c>
      <c r="J44" s="5">
        <f t="shared" si="1"/>
        <v>0</v>
      </c>
      <c r="K44" t="str">
        <f t="shared" si="2"/>
        <v>Low</v>
      </c>
      <c r="M44" t="s">
        <v>253</v>
      </c>
      <c r="N44" t="s">
        <v>253</v>
      </c>
    </row>
    <row r="45" spans="1:18" ht="15.75" customHeight="1">
      <c r="A45" s="1">
        <v>6</v>
      </c>
      <c r="B45" s="1" t="s">
        <v>78</v>
      </c>
      <c r="C45" s="1" t="s">
        <v>79</v>
      </c>
      <c r="D45" s="2">
        <v>0</v>
      </c>
      <c r="E45" s="3" t="s">
        <v>76</v>
      </c>
      <c r="F45" s="4">
        <v>0</v>
      </c>
      <c r="G45" s="5">
        <v>0</v>
      </c>
      <c r="H45" s="5">
        <v>0</v>
      </c>
      <c r="I45" s="5">
        <f t="shared" si="0"/>
        <v>0</v>
      </c>
      <c r="J45" s="26" t="s">
        <v>76</v>
      </c>
      <c r="K45" t="str">
        <f t="shared" si="2"/>
        <v>High</v>
      </c>
      <c r="L45" s="26" t="s">
        <v>238</v>
      </c>
      <c r="M45" s="29" t="s">
        <v>248</v>
      </c>
      <c r="N45" s="29" t="s">
        <v>248</v>
      </c>
      <c r="Q45" s="5" t="s">
        <v>80</v>
      </c>
    </row>
    <row r="46" spans="1:18" ht="15.75" customHeight="1">
      <c r="A46" s="1">
        <v>6</v>
      </c>
      <c r="B46" s="1" t="s">
        <v>78</v>
      </c>
      <c r="C46" s="1" t="s">
        <v>81</v>
      </c>
      <c r="D46" s="2">
        <v>0.49399999999999999</v>
      </c>
      <c r="E46" s="3">
        <v>9</v>
      </c>
      <c r="F46" s="4">
        <v>0</v>
      </c>
      <c r="G46" s="5">
        <v>0</v>
      </c>
      <c r="H46" s="5">
        <v>0</v>
      </c>
      <c r="I46" s="5">
        <f t="shared" si="0"/>
        <v>0</v>
      </c>
      <c r="J46" s="5">
        <f t="shared" si="1"/>
        <v>9</v>
      </c>
      <c r="K46" t="str">
        <f t="shared" si="2"/>
        <v>Low</v>
      </c>
      <c r="M46" t="s">
        <v>253</v>
      </c>
      <c r="N46" t="s">
        <v>253</v>
      </c>
    </row>
    <row r="47" spans="1:18" ht="15.75" customHeight="1">
      <c r="A47" s="1">
        <v>6</v>
      </c>
      <c r="B47" s="1" t="s">
        <v>78</v>
      </c>
      <c r="C47" s="1" t="s">
        <v>82</v>
      </c>
      <c r="D47" s="2">
        <v>8.6599999999999996E-2</v>
      </c>
      <c r="E47" s="3">
        <v>1</v>
      </c>
      <c r="F47" s="4">
        <v>0</v>
      </c>
      <c r="G47" s="5">
        <v>0</v>
      </c>
      <c r="H47" s="5">
        <v>0</v>
      </c>
      <c r="I47" s="5">
        <f t="shared" si="0"/>
        <v>0</v>
      </c>
      <c r="J47" s="5">
        <f t="shared" si="1"/>
        <v>1</v>
      </c>
      <c r="K47" t="str">
        <f t="shared" si="2"/>
        <v>Low</v>
      </c>
      <c r="M47" t="s">
        <v>253</v>
      </c>
      <c r="N47" t="s">
        <v>253</v>
      </c>
    </row>
    <row r="48" spans="1:18" ht="15.75" customHeight="1">
      <c r="A48" s="1">
        <v>6</v>
      </c>
      <c r="B48" s="1" t="s">
        <v>78</v>
      </c>
      <c r="C48" s="1" t="s">
        <v>83</v>
      </c>
      <c r="D48" s="2">
        <v>0</v>
      </c>
      <c r="E48" s="3">
        <v>0</v>
      </c>
      <c r="F48" s="4">
        <v>0</v>
      </c>
      <c r="G48" s="5">
        <v>0</v>
      </c>
      <c r="H48" s="5">
        <v>0</v>
      </c>
      <c r="I48" s="5">
        <f t="shared" si="0"/>
        <v>0</v>
      </c>
      <c r="J48" s="26" t="s">
        <v>76</v>
      </c>
      <c r="K48" t="str">
        <f t="shared" si="2"/>
        <v>High</v>
      </c>
      <c r="L48" s="26" t="s">
        <v>238</v>
      </c>
      <c r="M48" s="29" t="s">
        <v>248</v>
      </c>
      <c r="N48" s="29" t="s">
        <v>248</v>
      </c>
      <c r="Q48" s="5" t="s">
        <v>84</v>
      </c>
    </row>
    <row r="49" spans="1:34" ht="15.75" customHeight="1">
      <c r="A49" s="1">
        <v>6</v>
      </c>
      <c r="B49" s="1" t="s">
        <v>78</v>
      </c>
      <c r="C49" s="1" t="s">
        <v>85</v>
      </c>
      <c r="D49" s="2">
        <v>1.4251</v>
      </c>
      <c r="E49" s="3">
        <v>27</v>
      </c>
      <c r="F49" s="4">
        <v>0</v>
      </c>
      <c r="G49" s="5">
        <v>0</v>
      </c>
      <c r="H49" s="5">
        <v>1</v>
      </c>
      <c r="I49" s="5">
        <f t="shared" si="0"/>
        <v>0.25</v>
      </c>
      <c r="J49" s="5">
        <f t="shared" si="1"/>
        <v>27.25</v>
      </c>
      <c r="K49" t="str">
        <f t="shared" si="2"/>
        <v>Mid</v>
      </c>
      <c r="M49" t="s">
        <v>250</v>
      </c>
      <c r="N49" t="s">
        <v>250</v>
      </c>
    </row>
    <row r="50" spans="1:34" ht="15.75" customHeight="1">
      <c r="A50" s="1">
        <v>6</v>
      </c>
      <c r="B50" s="1" t="s">
        <v>78</v>
      </c>
      <c r="C50" s="1" t="s">
        <v>86</v>
      </c>
      <c r="D50" s="2">
        <v>0</v>
      </c>
      <c r="E50" s="3">
        <v>0</v>
      </c>
      <c r="F50" s="4">
        <v>0</v>
      </c>
      <c r="G50" s="5">
        <v>0</v>
      </c>
      <c r="H50" s="5">
        <v>0</v>
      </c>
      <c r="I50" s="5">
        <f t="shared" si="0"/>
        <v>0</v>
      </c>
      <c r="J50" s="5">
        <f t="shared" si="1"/>
        <v>0</v>
      </c>
      <c r="K50" t="str">
        <f t="shared" si="2"/>
        <v>Low</v>
      </c>
      <c r="M50" t="s">
        <v>253</v>
      </c>
      <c r="N50" t="s">
        <v>253</v>
      </c>
      <c r="P50" s="5" t="s">
        <v>87</v>
      </c>
      <c r="Q50" s="5" t="s">
        <v>88</v>
      </c>
    </row>
    <row r="51" spans="1:34" ht="15.75" customHeight="1">
      <c r="D51" s="2"/>
      <c r="E51" s="3"/>
      <c r="F51" s="4"/>
      <c r="I51" s="5">
        <f t="shared" si="0"/>
        <v>0</v>
      </c>
      <c r="J51" s="5">
        <f t="shared" si="1"/>
        <v>0</v>
      </c>
      <c r="K51" t="str">
        <f t="shared" si="2"/>
        <v>Low</v>
      </c>
      <c r="M51" t="s">
        <v>253</v>
      </c>
      <c r="N51" t="s">
        <v>253</v>
      </c>
    </row>
    <row r="52" spans="1:34" ht="15.75" customHeight="1">
      <c r="A52" s="1">
        <v>7</v>
      </c>
      <c r="B52" s="1" t="s">
        <v>89</v>
      </c>
      <c r="C52" s="1" t="s">
        <v>90</v>
      </c>
      <c r="D52" s="2">
        <v>1.0092000000000001</v>
      </c>
      <c r="E52" s="3">
        <v>21</v>
      </c>
      <c r="F52" s="4">
        <v>0</v>
      </c>
      <c r="G52" s="5">
        <v>0</v>
      </c>
      <c r="H52" s="5">
        <v>0</v>
      </c>
      <c r="I52" s="5">
        <f t="shared" si="0"/>
        <v>0</v>
      </c>
      <c r="J52" s="5">
        <f t="shared" si="1"/>
        <v>21</v>
      </c>
      <c r="K52" t="str">
        <f t="shared" si="2"/>
        <v>Mid</v>
      </c>
      <c r="M52" t="s">
        <v>250</v>
      </c>
      <c r="N52" t="s">
        <v>250</v>
      </c>
    </row>
    <row r="53" spans="1:34" ht="15.75" customHeight="1">
      <c r="A53" s="1">
        <v>7</v>
      </c>
      <c r="B53" s="1" t="s">
        <v>89</v>
      </c>
      <c r="C53" s="1" t="s">
        <v>91</v>
      </c>
      <c r="D53" s="2">
        <v>2.0062000000000002</v>
      </c>
      <c r="E53" s="3">
        <v>33</v>
      </c>
      <c r="F53" s="4">
        <v>0</v>
      </c>
      <c r="G53" s="5">
        <v>0</v>
      </c>
      <c r="H53" s="5">
        <v>0</v>
      </c>
      <c r="I53" s="5">
        <f t="shared" si="0"/>
        <v>0</v>
      </c>
      <c r="J53" s="5">
        <f t="shared" si="1"/>
        <v>33</v>
      </c>
      <c r="K53" t="str">
        <f t="shared" si="2"/>
        <v>Mid</v>
      </c>
      <c r="M53" t="s">
        <v>250</v>
      </c>
      <c r="N53" t="s">
        <v>250</v>
      </c>
      <c r="O53" s="5" t="s">
        <v>92</v>
      </c>
    </row>
    <row r="54" spans="1:34" ht="15.75" customHeight="1">
      <c r="A54" s="1">
        <v>7</v>
      </c>
      <c r="B54" s="1" t="s">
        <v>89</v>
      </c>
      <c r="C54" s="1" t="s">
        <v>93</v>
      </c>
      <c r="D54" s="2">
        <v>1.0114000000000001</v>
      </c>
      <c r="E54" s="3">
        <v>18</v>
      </c>
      <c r="F54" s="4">
        <v>0</v>
      </c>
      <c r="G54" s="5">
        <v>0</v>
      </c>
      <c r="H54" s="5">
        <v>2</v>
      </c>
      <c r="I54" s="5">
        <f t="shared" si="0"/>
        <v>0.5</v>
      </c>
      <c r="J54" s="5">
        <f t="shared" si="1"/>
        <v>18.5</v>
      </c>
      <c r="K54" t="str">
        <f t="shared" si="2"/>
        <v>Low</v>
      </c>
      <c r="M54" t="s">
        <v>253</v>
      </c>
      <c r="N54" t="s">
        <v>253</v>
      </c>
    </row>
    <row r="55" spans="1:34" ht="15.75" customHeight="1">
      <c r="A55" s="1">
        <v>7</v>
      </c>
      <c r="B55" s="1" t="s">
        <v>89</v>
      </c>
      <c r="C55" s="1" t="s">
        <v>94</v>
      </c>
      <c r="D55" s="2">
        <v>2.2776000000000001</v>
      </c>
      <c r="E55" s="3">
        <v>40</v>
      </c>
      <c r="F55" s="4">
        <v>0</v>
      </c>
      <c r="G55" s="5">
        <v>1</v>
      </c>
      <c r="H55" s="5">
        <v>7</v>
      </c>
      <c r="I55" s="5">
        <f t="shared" si="0"/>
        <v>1.75</v>
      </c>
      <c r="J55" s="5">
        <f t="shared" si="1"/>
        <v>42.75</v>
      </c>
      <c r="K55" t="str">
        <f t="shared" si="2"/>
        <v>Mid</v>
      </c>
      <c r="M55" t="s">
        <v>250</v>
      </c>
      <c r="N55" t="s">
        <v>250</v>
      </c>
    </row>
    <row r="56" spans="1:34" ht="15.75" customHeight="1">
      <c r="A56" s="1">
        <v>7</v>
      </c>
      <c r="B56" s="1" t="s">
        <v>89</v>
      </c>
      <c r="C56" s="1" t="s">
        <v>95</v>
      </c>
      <c r="D56" s="2">
        <v>0.23050000000000001</v>
      </c>
      <c r="E56" s="3">
        <v>6</v>
      </c>
      <c r="F56" s="4">
        <v>0</v>
      </c>
      <c r="G56" s="5">
        <v>0</v>
      </c>
      <c r="H56" s="5">
        <v>1</v>
      </c>
      <c r="I56" s="5">
        <f t="shared" si="0"/>
        <v>0.25</v>
      </c>
      <c r="J56" s="5">
        <f t="shared" si="1"/>
        <v>6.25</v>
      </c>
      <c r="K56" t="str">
        <f t="shared" si="2"/>
        <v>Low</v>
      </c>
      <c r="M56" t="s">
        <v>253</v>
      </c>
      <c r="N56" t="s">
        <v>253</v>
      </c>
    </row>
    <row r="57" spans="1:34" ht="15.75" customHeight="1">
      <c r="A57" s="1">
        <v>7</v>
      </c>
      <c r="B57" s="1" t="s">
        <v>89</v>
      </c>
      <c r="C57" s="1" t="s">
        <v>96</v>
      </c>
      <c r="D57" s="2">
        <v>0.49780000000000002</v>
      </c>
      <c r="E57" s="3">
        <v>9</v>
      </c>
      <c r="F57" s="4">
        <v>0</v>
      </c>
      <c r="G57" s="5">
        <v>0</v>
      </c>
      <c r="H57" s="5">
        <v>0</v>
      </c>
      <c r="I57" s="5">
        <f t="shared" si="0"/>
        <v>0</v>
      </c>
      <c r="J57" s="5">
        <f t="shared" si="1"/>
        <v>9</v>
      </c>
      <c r="K57" t="str">
        <f t="shared" si="2"/>
        <v>Low</v>
      </c>
      <c r="M57" t="s">
        <v>253</v>
      </c>
      <c r="N57" t="s">
        <v>253</v>
      </c>
    </row>
    <row r="58" spans="1:34" ht="15.75" customHeight="1">
      <c r="A58" s="1"/>
      <c r="B58" s="1"/>
      <c r="C58" s="1"/>
      <c r="D58" s="2"/>
      <c r="E58" s="3"/>
      <c r="F58" s="4"/>
      <c r="I58" s="5">
        <f t="shared" si="0"/>
        <v>0</v>
      </c>
      <c r="J58" s="5">
        <f t="shared" si="1"/>
        <v>0</v>
      </c>
      <c r="K58" t="str">
        <f t="shared" si="2"/>
        <v>Low</v>
      </c>
      <c r="M58" t="s">
        <v>253</v>
      </c>
      <c r="N58" t="s">
        <v>253</v>
      </c>
    </row>
    <row r="59" spans="1:34" ht="15.75" customHeight="1">
      <c r="A59" s="1">
        <v>8</v>
      </c>
      <c r="B59" s="1" t="s">
        <v>97</v>
      </c>
      <c r="C59" s="1" t="s">
        <v>98</v>
      </c>
      <c r="D59" s="2" t="s">
        <v>76</v>
      </c>
      <c r="E59" s="3">
        <v>0</v>
      </c>
      <c r="F59" s="4">
        <v>0</v>
      </c>
      <c r="G59" s="5">
        <v>0</v>
      </c>
      <c r="H59" s="5">
        <v>0</v>
      </c>
      <c r="I59" s="5">
        <f t="shared" si="0"/>
        <v>0</v>
      </c>
      <c r="J59" s="26" t="s">
        <v>76</v>
      </c>
      <c r="K59" t="str">
        <f t="shared" si="2"/>
        <v>High</v>
      </c>
      <c r="L59" s="26" t="s">
        <v>238</v>
      </c>
      <c r="M59" s="29" t="s">
        <v>248</v>
      </c>
      <c r="N59" s="29" t="s">
        <v>248</v>
      </c>
      <c r="Q59" s="5" t="s">
        <v>99</v>
      </c>
    </row>
    <row r="60" spans="1:34" ht="15.75" customHeight="1">
      <c r="A60" s="8">
        <v>8</v>
      </c>
      <c r="B60" s="8" t="s">
        <v>97</v>
      </c>
      <c r="C60" s="8" t="s">
        <v>100</v>
      </c>
      <c r="D60" s="9">
        <v>1.1997</v>
      </c>
      <c r="E60" s="10">
        <v>25</v>
      </c>
      <c r="F60" s="11">
        <v>0</v>
      </c>
      <c r="G60" s="12">
        <v>1</v>
      </c>
      <c r="H60" s="12">
        <v>6</v>
      </c>
      <c r="I60" s="5">
        <f t="shared" si="0"/>
        <v>1.5</v>
      </c>
      <c r="J60" s="5">
        <f t="shared" si="1"/>
        <v>27.5</v>
      </c>
      <c r="K60" t="str">
        <f t="shared" si="2"/>
        <v>Mid</v>
      </c>
      <c r="L60" s="28" t="s">
        <v>236</v>
      </c>
      <c r="M60" s="28" t="s">
        <v>250</v>
      </c>
      <c r="N60" s="28" t="s">
        <v>250</v>
      </c>
      <c r="O60" s="12"/>
      <c r="P60" s="12"/>
      <c r="Q60" s="12" t="s">
        <v>101</v>
      </c>
      <c r="R60" s="12" t="s">
        <v>102</v>
      </c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</row>
    <row r="61" spans="1:34" ht="15.75" customHeight="1">
      <c r="A61" s="1">
        <v>8</v>
      </c>
      <c r="B61" s="1" t="s">
        <v>97</v>
      </c>
      <c r="C61" s="1" t="s">
        <v>103</v>
      </c>
      <c r="D61" s="2">
        <v>1.4331</v>
      </c>
      <c r="E61" s="3">
        <v>27</v>
      </c>
      <c r="F61" s="4">
        <v>1</v>
      </c>
      <c r="G61" s="5">
        <v>0</v>
      </c>
      <c r="H61" s="5">
        <v>3</v>
      </c>
      <c r="I61" s="5">
        <f t="shared" si="0"/>
        <v>0.75</v>
      </c>
      <c r="J61" s="5">
        <f>E61+G61+F61</f>
        <v>28</v>
      </c>
      <c r="K61" t="str">
        <f t="shared" si="2"/>
        <v>Mid</v>
      </c>
      <c r="M61" t="s">
        <v>250</v>
      </c>
      <c r="N61" t="s">
        <v>250</v>
      </c>
    </row>
    <row r="62" spans="1:34" ht="15.75" customHeight="1">
      <c r="A62" s="1">
        <v>8</v>
      </c>
      <c r="B62" s="1" t="s">
        <v>97</v>
      </c>
      <c r="C62" s="1" t="s">
        <v>104</v>
      </c>
      <c r="D62" s="2" t="s">
        <v>76</v>
      </c>
      <c r="E62" s="3">
        <v>0</v>
      </c>
      <c r="F62" s="4">
        <v>0</v>
      </c>
      <c r="G62" s="5">
        <v>0</v>
      </c>
      <c r="H62" s="5">
        <v>0</v>
      </c>
      <c r="I62" s="5">
        <f t="shared" si="0"/>
        <v>0</v>
      </c>
      <c r="J62" s="26" t="s">
        <v>76</v>
      </c>
      <c r="K62" t="str">
        <f t="shared" si="2"/>
        <v>High</v>
      </c>
      <c r="L62" s="26" t="s">
        <v>238</v>
      </c>
      <c r="M62" s="29" t="s">
        <v>248</v>
      </c>
      <c r="N62" s="29" t="s">
        <v>248</v>
      </c>
      <c r="Q62" s="5" t="s">
        <v>99</v>
      </c>
    </row>
    <row r="63" spans="1:34" ht="15.75" customHeight="1">
      <c r="A63" s="1">
        <v>8</v>
      </c>
      <c r="B63" s="1" t="s">
        <v>97</v>
      </c>
      <c r="C63" s="1" t="s">
        <v>105</v>
      </c>
      <c r="D63" s="2">
        <v>0.63170000000000004</v>
      </c>
      <c r="E63" s="3">
        <v>13</v>
      </c>
      <c r="F63" s="4">
        <v>0</v>
      </c>
      <c r="G63" s="5">
        <v>0</v>
      </c>
      <c r="H63" s="5">
        <v>0</v>
      </c>
      <c r="I63" s="5">
        <f t="shared" si="0"/>
        <v>0</v>
      </c>
      <c r="J63" s="5">
        <f t="shared" si="1"/>
        <v>13</v>
      </c>
      <c r="K63" t="str">
        <f t="shared" si="2"/>
        <v>Low</v>
      </c>
      <c r="M63" t="s">
        <v>253</v>
      </c>
      <c r="N63" t="s">
        <v>253</v>
      </c>
    </row>
    <row r="64" spans="1:34" ht="15.75" customHeight="1">
      <c r="A64" s="1">
        <v>8</v>
      </c>
      <c r="B64" s="1" t="s">
        <v>97</v>
      </c>
      <c r="C64" s="1" t="s">
        <v>106</v>
      </c>
      <c r="D64" s="2">
        <v>2.8801000000000001</v>
      </c>
      <c r="E64" s="3">
        <v>48</v>
      </c>
      <c r="F64" s="4">
        <v>0</v>
      </c>
      <c r="G64" s="5">
        <v>0</v>
      </c>
      <c r="H64" s="5">
        <v>0</v>
      </c>
      <c r="I64" s="5">
        <f t="shared" si="0"/>
        <v>0</v>
      </c>
      <c r="J64" s="5">
        <f t="shared" si="1"/>
        <v>48</v>
      </c>
      <c r="K64" t="str">
        <f t="shared" si="2"/>
        <v>Mid</v>
      </c>
      <c r="M64" t="s">
        <v>250</v>
      </c>
      <c r="N64" t="s">
        <v>250</v>
      </c>
      <c r="O64" s="5" t="s">
        <v>53</v>
      </c>
    </row>
    <row r="65" spans="1:18" ht="15.75" customHeight="1">
      <c r="D65" s="2"/>
      <c r="E65" s="3"/>
      <c r="F65" s="4"/>
      <c r="I65" s="5">
        <f t="shared" si="0"/>
        <v>0</v>
      </c>
      <c r="J65" s="5">
        <f t="shared" si="1"/>
        <v>0</v>
      </c>
      <c r="K65" t="str">
        <f t="shared" si="2"/>
        <v>Low</v>
      </c>
      <c r="M65" t="s">
        <v>253</v>
      </c>
      <c r="N65" t="s">
        <v>253</v>
      </c>
    </row>
    <row r="66" spans="1:18" ht="15.75" customHeight="1">
      <c r="A66" s="1">
        <v>9</v>
      </c>
      <c r="B66" s="1" t="s">
        <v>107</v>
      </c>
      <c r="C66" s="31" t="s">
        <v>108</v>
      </c>
      <c r="D66" s="2">
        <v>3.4575</v>
      </c>
      <c r="E66" s="3">
        <v>85</v>
      </c>
      <c r="F66" s="4">
        <v>0</v>
      </c>
      <c r="G66" s="5">
        <v>3</v>
      </c>
      <c r="H66" s="5">
        <v>18</v>
      </c>
      <c r="I66" s="5">
        <f t="shared" si="0"/>
        <v>4.5</v>
      </c>
      <c r="J66" s="5">
        <f t="shared" si="1"/>
        <v>92.5</v>
      </c>
      <c r="K66" t="str">
        <f t="shared" si="2"/>
        <v>High</v>
      </c>
      <c r="M66" t="s">
        <v>249</v>
      </c>
      <c r="N66" s="30" t="s">
        <v>248</v>
      </c>
    </row>
    <row r="67" spans="1:18" ht="15.75" customHeight="1">
      <c r="A67" s="1">
        <v>9</v>
      </c>
      <c r="B67" s="1" t="s">
        <v>107</v>
      </c>
      <c r="C67" s="31" t="s">
        <v>109</v>
      </c>
      <c r="D67" s="2">
        <v>2.9481999999999999</v>
      </c>
      <c r="E67" s="3">
        <v>74</v>
      </c>
      <c r="F67" s="4">
        <v>1</v>
      </c>
      <c r="G67" s="5">
        <v>0</v>
      </c>
      <c r="H67" s="5">
        <v>10</v>
      </c>
      <c r="I67" s="5">
        <f t="shared" ref="I67:I130" si="3">H67/4</f>
        <v>2.5</v>
      </c>
      <c r="J67" s="5">
        <f t="shared" ref="J67:J130" si="4">E67+G67+I67</f>
        <v>76.5</v>
      </c>
      <c r="K67" t="str">
        <f t="shared" ref="K67:K130" si="5">IF(J67&lt;20,"Low", IF(AND(J67&gt;20,J67&lt;50),"Mid", IF(J67&gt;50,"High")))</f>
        <v>High</v>
      </c>
      <c r="M67" t="s">
        <v>249</v>
      </c>
    </row>
    <row r="68" spans="1:18" ht="15.75" customHeight="1">
      <c r="A68" s="1">
        <v>9</v>
      </c>
      <c r="B68" s="1" t="s">
        <v>107</v>
      </c>
      <c r="C68" s="1" t="s">
        <v>110</v>
      </c>
      <c r="D68" s="2">
        <v>3.8384</v>
      </c>
      <c r="E68" s="3">
        <v>77</v>
      </c>
      <c r="F68" s="4">
        <v>0</v>
      </c>
      <c r="G68" s="5">
        <v>1</v>
      </c>
      <c r="H68" s="5">
        <v>0</v>
      </c>
      <c r="I68" s="5">
        <f t="shared" si="3"/>
        <v>0</v>
      </c>
      <c r="J68" s="5">
        <f t="shared" si="4"/>
        <v>78</v>
      </c>
      <c r="K68" t="str">
        <f t="shared" si="5"/>
        <v>High</v>
      </c>
      <c r="M68" t="s">
        <v>249</v>
      </c>
      <c r="N68" t="s">
        <v>249</v>
      </c>
      <c r="O68" s="5" t="s">
        <v>62</v>
      </c>
      <c r="Q68" s="5" t="s">
        <v>111</v>
      </c>
    </row>
    <row r="69" spans="1:18" ht="15.75" customHeight="1">
      <c r="A69" s="1">
        <v>9</v>
      </c>
      <c r="B69" s="1" t="s">
        <v>107</v>
      </c>
      <c r="C69" s="1" t="s">
        <v>112</v>
      </c>
      <c r="D69" s="2">
        <v>2.7906</v>
      </c>
      <c r="E69" s="3">
        <v>48</v>
      </c>
      <c r="F69" s="4">
        <v>9</v>
      </c>
      <c r="G69" s="5">
        <v>14</v>
      </c>
      <c r="H69" s="5">
        <v>75</v>
      </c>
      <c r="I69" s="5">
        <f t="shared" si="3"/>
        <v>18.75</v>
      </c>
      <c r="J69" s="5">
        <f t="shared" si="4"/>
        <v>80.75</v>
      </c>
      <c r="K69" t="str">
        <f t="shared" si="5"/>
        <v>High</v>
      </c>
      <c r="L69" s="26" t="s">
        <v>236</v>
      </c>
      <c r="M69" s="26" t="s">
        <v>249</v>
      </c>
      <c r="N69" s="26" t="s">
        <v>249</v>
      </c>
      <c r="Q69" s="5" t="s">
        <v>113</v>
      </c>
      <c r="R69" s="5" t="s">
        <v>114</v>
      </c>
    </row>
    <row r="70" spans="1:18" ht="15.75" customHeight="1">
      <c r="A70" s="1">
        <v>9</v>
      </c>
      <c r="B70" s="1" t="s">
        <v>107</v>
      </c>
      <c r="C70" s="1" t="s">
        <v>115</v>
      </c>
      <c r="D70" s="2">
        <v>2.5263</v>
      </c>
      <c r="E70" s="3">
        <v>39</v>
      </c>
      <c r="F70" s="4">
        <v>0</v>
      </c>
      <c r="G70" s="5">
        <v>3</v>
      </c>
      <c r="H70" s="5">
        <v>8</v>
      </c>
      <c r="I70" s="5">
        <f t="shared" si="3"/>
        <v>2</v>
      </c>
      <c r="J70" s="5">
        <f t="shared" si="4"/>
        <v>44</v>
      </c>
      <c r="K70" t="str">
        <f t="shared" si="5"/>
        <v>Mid</v>
      </c>
      <c r="M70" t="s">
        <v>250</v>
      </c>
      <c r="N70" t="s">
        <v>250</v>
      </c>
      <c r="O70" s="5" t="s">
        <v>116</v>
      </c>
      <c r="Q70" s="5"/>
      <c r="R70" s="5" t="s">
        <v>114</v>
      </c>
    </row>
    <row r="71" spans="1:18" ht="15.75" customHeight="1">
      <c r="A71" s="1">
        <v>9</v>
      </c>
      <c r="B71" s="1" t="s">
        <v>107</v>
      </c>
      <c r="C71" s="1" t="s">
        <v>117</v>
      </c>
      <c r="D71" s="2">
        <v>4.0518999999999998</v>
      </c>
      <c r="E71" s="3">
        <v>60</v>
      </c>
      <c r="F71" s="4">
        <v>4</v>
      </c>
      <c r="G71" s="5">
        <v>1</v>
      </c>
      <c r="H71" s="5">
        <v>29</v>
      </c>
      <c r="I71" s="5">
        <f t="shared" si="3"/>
        <v>7.25</v>
      </c>
      <c r="J71" s="5">
        <f t="shared" si="4"/>
        <v>68.25</v>
      </c>
      <c r="K71" t="str">
        <f t="shared" si="5"/>
        <v>High</v>
      </c>
      <c r="M71" t="s">
        <v>249</v>
      </c>
      <c r="N71" t="s">
        <v>249</v>
      </c>
      <c r="Q71" s="5" t="s">
        <v>118</v>
      </c>
      <c r="R71" s="5" t="s">
        <v>114</v>
      </c>
    </row>
    <row r="72" spans="1:18" ht="15.75" customHeight="1">
      <c r="A72" s="1">
        <v>9</v>
      </c>
      <c r="B72" s="1" t="s">
        <v>107</v>
      </c>
      <c r="C72" s="1" t="s">
        <v>119</v>
      </c>
      <c r="D72" s="2">
        <v>2.7263999999999999</v>
      </c>
      <c r="E72" s="3">
        <v>47</v>
      </c>
      <c r="F72" s="4">
        <v>2</v>
      </c>
      <c r="G72" s="5">
        <v>6</v>
      </c>
      <c r="H72" s="5">
        <v>19</v>
      </c>
      <c r="I72" s="5">
        <f t="shared" si="3"/>
        <v>4.75</v>
      </c>
      <c r="J72" s="5">
        <f t="shared" si="4"/>
        <v>57.75</v>
      </c>
      <c r="K72" t="str">
        <f t="shared" si="5"/>
        <v>High</v>
      </c>
      <c r="L72" s="26" t="s">
        <v>236</v>
      </c>
      <c r="M72" s="26" t="s">
        <v>249</v>
      </c>
      <c r="N72" s="26" t="s">
        <v>249</v>
      </c>
      <c r="O72" s="5" t="s">
        <v>120</v>
      </c>
      <c r="Q72" s="5" t="s">
        <v>13</v>
      </c>
    </row>
    <row r="73" spans="1:18" ht="15.75" customHeight="1">
      <c r="D73" s="2"/>
      <c r="E73" s="3"/>
      <c r="F73" s="4"/>
      <c r="I73" s="5">
        <f t="shared" si="3"/>
        <v>0</v>
      </c>
      <c r="J73" s="5">
        <f t="shared" si="4"/>
        <v>0</v>
      </c>
      <c r="K73" t="str">
        <f t="shared" si="5"/>
        <v>Low</v>
      </c>
      <c r="M73" t="s">
        <v>253</v>
      </c>
      <c r="N73" t="s">
        <v>253</v>
      </c>
    </row>
    <row r="74" spans="1:18" ht="15.75" customHeight="1">
      <c r="A74" s="1">
        <v>10</v>
      </c>
      <c r="B74" s="1" t="s">
        <v>121</v>
      </c>
      <c r="C74" s="1" t="s">
        <v>122</v>
      </c>
      <c r="D74" s="2">
        <v>1.1758</v>
      </c>
      <c r="E74" s="3">
        <v>29</v>
      </c>
      <c r="F74" s="4">
        <v>0</v>
      </c>
      <c r="G74" s="5">
        <v>0</v>
      </c>
      <c r="H74" s="5">
        <v>0</v>
      </c>
      <c r="I74" s="5">
        <f t="shared" si="3"/>
        <v>0</v>
      </c>
      <c r="J74" s="5">
        <f t="shared" si="4"/>
        <v>29</v>
      </c>
      <c r="K74" t="str">
        <f t="shared" si="5"/>
        <v>Mid</v>
      </c>
      <c r="M74" t="s">
        <v>250</v>
      </c>
      <c r="N74" t="s">
        <v>250</v>
      </c>
    </row>
    <row r="75" spans="1:18" ht="15.75" customHeight="1">
      <c r="A75" s="1">
        <v>10</v>
      </c>
      <c r="B75" s="1" t="s">
        <v>121</v>
      </c>
      <c r="C75" s="1" t="s">
        <v>123</v>
      </c>
      <c r="D75" s="2">
        <v>3.6659999999999999</v>
      </c>
      <c r="E75" s="3">
        <v>97</v>
      </c>
      <c r="F75" s="4">
        <v>0</v>
      </c>
      <c r="G75" s="5">
        <v>0</v>
      </c>
      <c r="H75" s="5">
        <v>2</v>
      </c>
      <c r="I75" s="5">
        <f t="shared" si="3"/>
        <v>0.5</v>
      </c>
      <c r="J75" s="5">
        <f t="shared" si="4"/>
        <v>97.5</v>
      </c>
      <c r="K75" t="str">
        <f t="shared" si="5"/>
        <v>High</v>
      </c>
      <c r="M75" t="s">
        <v>249</v>
      </c>
      <c r="N75" t="s">
        <v>249</v>
      </c>
      <c r="O75" s="5" t="s">
        <v>124</v>
      </c>
      <c r="Q75" s="5" t="s">
        <v>125</v>
      </c>
    </row>
    <row r="76" spans="1:18" ht="15.75" customHeight="1">
      <c r="A76" s="1">
        <v>10</v>
      </c>
      <c r="B76" s="1" t="s">
        <v>121</v>
      </c>
      <c r="C76" s="1" t="s">
        <v>126</v>
      </c>
      <c r="D76" s="2">
        <v>0.84709999999999996</v>
      </c>
      <c r="E76" s="3">
        <v>21</v>
      </c>
      <c r="F76" s="4">
        <v>0</v>
      </c>
      <c r="G76" s="5">
        <v>0</v>
      </c>
      <c r="H76" s="5">
        <v>0</v>
      </c>
      <c r="I76" s="5">
        <f t="shared" si="3"/>
        <v>0</v>
      </c>
      <c r="J76" s="5">
        <f t="shared" si="4"/>
        <v>21</v>
      </c>
      <c r="K76" t="str">
        <f t="shared" si="5"/>
        <v>Mid</v>
      </c>
      <c r="M76" t="s">
        <v>250</v>
      </c>
      <c r="N76" t="s">
        <v>250</v>
      </c>
      <c r="O76" s="5" t="s">
        <v>53</v>
      </c>
      <c r="Q76" s="5" t="s">
        <v>127</v>
      </c>
    </row>
    <row r="77" spans="1:18" ht="15.75" customHeight="1">
      <c r="A77" s="1">
        <v>10</v>
      </c>
      <c r="B77" s="1" t="s">
        <v>121</v>
      </c>
      <c r="C77" s="1" t="s">
        <v>128</v>
      </c>
      <c r="D77" s="2">
        <v>0.93489999999999995</v>
      </c>
      <c r="E77" s="3">
        <v>4</v>
      </c>
      <c r="F77" s="4">
        <v>4</v>
      </c>
      <c r="G77" s="5">
        <v>0</v>
      </c>
      <c r="H77" s="5">
        <v>10</v>
      </c>
      <c r="I77" s="5">
        <f t="shared" si="3"/>
        <v>2.5</v>
      </c>
      <c r="J77" s="5">
        <f>E77+G77+F77</f>
        <v>8</v>
      </c>
      <c r="K77" t="str">
        <f t="shared" si="5"/>
        <v>Low</v>
      </c>
      <c r="L77" s="26" t="s">
        <v>233</v>
      </c>
      <c r="M77" s="29" t="s">
        <v>250</v>
      </c>
      <c r="N77" s="29" t="s">
        <v>250</v>
      </c>
      <c r="O77" s="26" t="s">
        <v>239</v>
      </c>
      <c r="P77" s="5" t="s">
        <v>129</v>
      </c>
      <c r="Q77" s="5" t="s">
        <v>130</v>
      </c>
      <c r="R77" s="5" t="s">
        <v>131</v>
      </c>
    </row>
    <row r="78" spans="1:18" ht="15.75" customHeight="1">
      <c r="A78" s="1">
        <v>10</v>
      </c>
      <c r="B78" s="1" t="s">
        <v>121</v>
      </c>
      <c r="C78" s="1" t="s">
        <v>132</v>
      </c>
      <c r="D78" s="2">
        <v>2.1267999999999998</v>
      </c>
      <c r="E78" s="3">
        <v>35</v>
      </c>
      <c r="F78" s="4">
        <v>27</v>
      </c>
      <c r="G78" s="5">
        <v>11</v>
      </c>
      <c r="H78" s="5">
        <v>73</v>
      </c>
      <c r="I78" s="5">
        <f t="shared" si="3"/>
        <v>18.25</v>
      </c>
      <c r="J78" s="5">
        <f t="shared" si="4"/>
        <v>64.25</v>
      </c>
      <c r="K78" t="str">
        <f t="shared" si="5"/>
        <v>High</v>
      </c>
      <c r="L78" s="26" t="s">
        <v>237</v>
      </c>
      <c r="M78" s="29" t="s">
        <v>248</v>
      </c>
      <c r="N78" s="29" t="s">
        <v>248</v>
      </c>
      <c r="O78" s="5" t="s">
        <v>133</v>
      </c>
      <c r="Q78" s="5" t="s">
        <v>134</v>
      </c>
      <c r="R78" s="5" t="s">
        <v>135</v>
      </c>
    </row>
    <row r="79" spans="1:18" ht="15.75" customHeight="1">
      <c r="A79" s="1">
        <v>10</v>
      </c>
      <c r="B79" s="1" t="s">
        <v>121</v>
      </c>
      <c r="C79" s="1" t="s">
        <v>136</v>
      </c>
      <c r="D79" s="2">
        <v>1.4830000000000001</v>
      </c>
      <c r="E79" s="3">
        <v>37</v>
      </c>
      <c r="F79" s="4">
        <v>1</v>
      </c>
      <c r="G79" s="5">
        <v>1</v>
      </c>
      <c r="H79" s="5">
        <v>9</v>
      </c>
      <c r="I79" s="5">
        <f t="shared" si="3"/>
        <v>2.25</v>
      </c>
      <c r="J79" s="5">
        <f t="shared" si="4"/>
        <v>40.25</v>
      </c>
      <c r="K79" t="str">
        <f t="shared" si="5"/>
        <v>Mid</v>
      </c>
      <c r="L79" s="26" t="s">
        <v>236</v>
      </c>
      <c r="M79" s="26" t="s">
        <v>250</v>
      </c>
      <c r="N79" s="26" t="s">
        <v>250</v>
      </c>
      <c r="O79" s="5" t="s">
        <v>137</v>
      </c>
      <c r="Q79" s="5" t="s">
        <v>138</v>
      </c>
    </row>
    <row r="80" spans="1:18" ht="15.75" customHeight="1">
      <c r="D80" s="2"/>
      <c r="E80" s="3"/>
      <c r="F80" s="4"/>
      <c r="I80" s="5">
        <f t="shared" si="3"/>
        <v>0</v>
      </c>
      <c r="J80" s="5">
        <f t="shared" si="4"/>
        <v>0</v>
      </c>
      <c r="K80" t="str">
        <f t="shared" si="5"/>
        <v>Low</v>
      </c>
      <c r="M80" t="s">
        <v>253</v>
      </c>
      <c r="N80" t="s">
        <v>253</v>
      </c>
    </row>
    <row r="81" spans="1:18" ht="15.75" customHeight="1">
      <c r="A81" s="1">
        <v>11</v>
      </c>
      <c r="B81" s="1" t="s">
        <v>139</v>
      </c>
      <c r="C81" s="32" t="s">
        <v>140</v>
      </c>
      <c r="D81" s="2">
        <v>2.9016000000000002</v>
      </c>
      <c r="E81" s="3">
        <v>66</v>
      </c>
      <c r="F81" s="4">
        <v>1</v>
      </c>
      <c r="G81" s="5">
        <v>0</v>
      </c>
      <c r="H81" s="5">
        <v>8</v>
      </c>
      <c r="I81" s="5">
        <f t="shared" si="3"/>
        <v>2</v>
      </c>
      <c r="J81" s="5">
        <f t="shared" si="4"/>
        <v>68</v>
      </c>
      <c r="K81" t="str">
        <f t="shared" si="5"/>
        <v>High</v>
      </c>
      <c r="M81" t="s">
        <v>249</v>
      </c>
      <c r="N81" t="s">
        <v>249</v>
      </c>
    </row>
    <row r="82" spans="1:18" ht="15.75" customHeight="1">
      <c r="A82" s="1">
        <v>11</v>
      </c>
      <c r="B82" s="1" t="s">
        <v>139</v>
      </c>
      <c r="C82" s="32" t="s">
        <v>140</v>
      </c>
      <c r="D82" s="2">
        <v>2.0695000000000001</v>
      </c>
      <c r="E82" s="3">
        <v>39</v>
      </c>
      <c r="F82" s="4">
        <v>0</v>
      </c>
      <c r="G82" s="5">
        <v>1</v>
      </c>
      <c r="H82" s="5">
        <v>3</v>
      </c>
      <c r="I82" s="5">
        <f t="shared" si="3"/>
        <v>0.75</v>
      </c>
      <c r="J82" s="5">
        <f t="shared" si="4"/>
        <v>40.75</v>
      </c>
      <c r="K82" t="str">
        <f t="shared" si="5"/>
        <v>Mid</v>
      </c>
      <c r="M82" t="s">
        <v>250</v>
      </c>
    </row>
    <row r="83" spans="1:18" ht="15.75" customHeight="1">
      <c r="A83" s="1">
        <v>11</v>
      </c>
      <c r="B83" s="1" t="s">
        <v>139</v>
      </c>
      <c r="C83" s="31" t="s">
        <v>141</v>
      </c>
      <c r="D83" s="2">
        <v>2.7033999999999998</v>
      </c>
      <c r="E83" s="3">
        <v>71</v>
      </c>
      <c r="F83" s="4">
        <v>3</v>
      </c>
      <c r="G83" s="5">
        <v>2</v>
      </c>
      <c r="H83" s="5">
        <v>17</v>
      </c>
      <c r="I83" s="5">
        <f t="shared" si="3"/>
        <v>4.25</v>
      </c>
      <c r="J83" s="5">
        <f t="shared" si="4"/>
        <v>77.25</v>
      </c>
      <c r="K83" t="str">
        <f t="shared" si="5"/>
        <v>High</v>
      </c>
      <c r="M83" t="s">
        <v>249</v>
      </c>
      <c r="N83" s="30" t="s">
        <v>248</v>
      </c>
      <c r="O83" s="5" t="s">
        <v>142</v>
      </c>
      <c r="Q83" s="5" t="s">
        <v>143</v>
      </c>
    </row>
    <row r="84" spans="1:18" ht="15.75" customHeight="1">
      <c r="A84" s="1">
        <v>11</v>
      </c>
      <c r="B84" s="1" t="s">
        <v>139</v>
      </c>
      <c r="C84" s="31" t="s">
        <v>141</v>
      </c>
      <c r="D84" s="2">
        <v>1.7784</v>
      </c>
      <c r="E84" s="3">
        <v>52</v>
      </c>
      <c r="F84" s="4">
        <v>0</v>
      </c>
      <c r="G84" s="5">
        <v>4</v>
      </c>
      <c r="H84" s="5">
        <v>28</v>
      </c>
      <c r="I84" s="5">
        <f t="shared" si="3"/>
        <v>7</v>
      </c>
      <c r="J84" s="5">
        <f t="shared" si="4"/>
        <v>63</v>
      </c>
      <c r="K84" t="str">
        <f t="shared" si="5"/>
        <v>High</v>
      </c>
      <c r="M84" t="s">
        <v>249</v>
      </c>
      <c r="O84" s="5"/>
      <c r="Q84" s="5" t="s">
        <v>143</v>
      </c>
    </row>
    <row r="85" spans="1:18" ht="15.75" customHeight="1">
      <c r="A85" s="1">
        <v>11</v>
      </c>
      <c r="B85" s="1" t="s">
        <v>139</v>
      </c>
      <c r="C85" s="1" t="s">
        <v>144</v>
      </c>
      <c r="D85" s="2">
        <v>0.70309999999999995</v>
      </c>
      <c r="E85" s="3" t="s">
        <v>76</v>
      </c>
      <c r="F85" s="4" t="s">
        <v>76</v>
      </c>
      <c r="G85" s="5" t="s">
        <v>76</v>
      </c>
      <c r="H85" s="5" t="s">
        <v>76</v>
      </c>
      <c r="I85" s="5" t="e">
        <f t="shared" si="3"/>
        <v>#VALUE!</v>
      </c>
      <c r="J85" s="26" t="s">
        <v>76</v>
      </c>
      <c r="K85" t="str">
        <f t="shared" si="5"/>
        <v>High</v>
      </c>
      <c r="L85" s="26" t="s">
        <v>238</v>
      </c>
      <c r="M85" s="29" t="s">
        <v>248</v>
      </c>
      <c r="N85" s="29" t="s">
        <v>248</v>
      </c>
      <c r="Q85" s="5" t="s">
        <v>145</v>
      </c>
      <c r="R85" s="5" t="s">
        <v>146</v>
      </c>
    </row>
    <row r="86" spans="1:18" ht="15.75" customHeight="1">
      <c r="A86" s="1">
        <v>11</v>
      </c>
      <c r="B86" s="1" t="s">
        <v>139</v>
      </c>
      <c r="C86" s="32" t="s">
        <v>147</v>
      </c>
      <c r="D86" s="2">
        <v>3.0082</v>
      </c>
      <c r="E86" s="3">
        <v>77</v>
      </c>
      <c r="F86" s="4">
        <v>1</v>
      </c>
      <c r="G86" s="5">
        <v>0</v>
      </c>
      <c r="H86" s="5">
        <v>9</v>
      </c>
      <c r="I86" s="5">
        <f t="shared" si="3"/>
        <v>2.25</v>
      </c>
      <c r="J86" s="5">
        <f t="shared" si="4"/>
        <v>79.25</v>
      </c>
      <c r="K86" t="str">
        <f t="shared" si="5"/>
        <v>High</v>
      </c>
      <c r="M86" t="s">
        <v>249</v>
      </c>
      <c r="N86" s="30" t="s">
        <v>248</v>
      </c>
      <c r="P86" s="5" t="s">
        <v>70</v>
      </c>
    </row>
    <row r="87" spans="1:18" ht="15.75" customHeight="1">
      <c r="A87" s="1">
        <v>11</v>
      </c>
      <c r="B87" s="1" t="s">
        <v>139</v>
      </c>
      <c r="C87" s="32" t="s">
        <v>147</v>
      </c>
      <c r="D87" s="2">
        <v>2.7616000000000001</v>
      </c>
      <c r="E87" s="3">
        <v>75</v>
      </c>
      <c r="F87" s="4">
        <v>1</v>
      </c>
      <c r="G87" s="5">
        <v>0</v>
      </c>
      <c r="H87" s="5">
        <v>9</v>
      </c>
      <c r="I87" s="5">
        <f t="shared" si="3"/>
        <v>2.25</v>
      </c>
      <c r="J87" s="5">
        <f t="shared" si="4"/>
        <v>77.25</v>
      </c>
      <c r="K87" t="str">
        <f t="shared" si="5"/>
        <v>High</v>
      </c>
      <c r="M87" t="s">
        <v>249</v>
      </c>
      <c r="P87" s="5"/>
    </row>
    <row r="88" spans="1:18" ht="15.75" customHeight="1">
      <c r="A88" s="1">
        <v>11</v>
      </c>
      <c r="B88" s="1" t="s">
        <v>139</v>
      </c>
      <c r="C88" s="31" t="s">
        <v>148</v>
      </c>
      <c r="D88" s="2">
        <v>1.7109000000000001</v>
      </c>
      <c r="E88" s="3">
        <v>46</v>
      </c>
      <c r="F88" s="4">
        <v>0</v>
      </c>
      <c r="G88" s="5">
        <v>1</v>
      </c>
      <c r="H88" s="5">
        <v>6</v>
      </c>
      <c r="I88" s="5">
        <f t="shared" si="3"/>
        <v>1.5</v>
      </c>
      <c r="J88" s="5">
        <f>E88+G88+I88+1</f>
        <v>49.5</v>
      </c>
      <c r="K88" t="str">
        <f t="shared" si="5"/>
        <v>Mid</v>
      </c>
      <c r="M88" t="s">
        <v>250</v>
      </c>
      <c r="N88" s="30" t="s">
        <v>249</v>
      </c>
      <c r="Q88" s="5" t="s">
        <v>149</v>
      </c>
    </row>
    <row r="89" spans="1:18" ht="15.75" customHeight="1">
      <c r="A89" s="1">
        <v>11</v>
      </c>
      <c r="B89" s="1" t="s">
        <v>139</v>
      </c>
      <c r="C89" s="31" t="s">
        <v>148</v>
      </c>
      <c r="D89" s="2">
        <v>2.5638000000000001</v>
      </c>
      <c r="E89" s="3">
        <v>70</v>
      </c>
      <c r="F89" s="4">
        <v>0</v>
      </c>
      <c r="G89" s="5">
        <v>1</v>
      </c>
      <c r="H89" s="5">
        <v>6</v>
      </c>
      <c r="I89" s="5">
        <f t="shared" si="3"/>
        <v>1.5</v>
      </c>
      <c r="J89" s="5">
        <f t="shared" si="4"/>
        <v>72.5</v>
      </c>
      <c r="K89" t="str">
        <f t="shared" si="5"/>
        <v>High</v>
      </c>
      <c r="M89" t="s">
        <v>249</v>
      </c>
      <c r="P89" s="5" t="s">
        <v>53</v>
      </c>
    </row>
    <row r="90" spans="1:18" ht="15.75" customHeight="1">
      <c r="A90" s="1">
        <v>11</v>
      </c>
      <c r="B90" s="1" t="s">
        <v>139</v>
      </c>
      <c r="C90" s="1" t="s">
        <v>150</v>
      </c>
      <c r="D90" s="2">
        <v>1.5727</v>
      </c>
      <c r="E90" s="3">
        <v>32</v>
      </c>
      <c r="F90" s="4">
        <v>6</v>
      </c>
      <c r="G90" s="5">
        <v>1</v>
      </c>
      <c r="H90" s="5">
        <v>32</v>
      </c>
      <c r="I90" s="5">
        <f t="shared" si="3"/>
        <v>8</v>
      </c>
      <c r="J90" s="5">
        <f t="shared" si="4"/>
        <v>41</v>
      </c>
      <c r="K90" t="str">
        <f t="shared" si="5"/>
        <v>Mid</v>
      </c>
      <c r="L90" s="26" t="s">
        <v>238</v>
      </c>
      <c r="M90" s="29" t="s">
        <v>248</v>
      </c>
      <c r="N90" s="29" t="s">
        <v>248</v>
      </c>
      <c r="Q90" s="5" t="s">
        <v>145</v>
      </c>
      <c r="R90" s="5" t="s">
        <v>151</v>
      </c>
    </row>
    <row r="91" spans="1:18" ht="15.75" customHeight="1">
      <c r="D91" s="2"/>
      <c r="E91" s="3"/>
      <c r="F91" s="4"/>
      <c r="I91" s="5">
        <f t="shared" si="3"/>
        <v>0</v>
      </c>
      <c r="J91" s="5">
        <f t="shared" si="4"/>
        <v>0</v>
      </c>
      <c r="K91" t="str">
        <f t="shared" si="5"/>
        <v>Low</v>
      </c>
      <c r="M91" t="s">
        <v>253</v>
      </c>
      <c r="N91" t="s">
        <v>253</v>
      </c>
    </row>
    <row r="92" spans="1:18" ht="15.75" customHeight="1">
      <c r="A92" s="1">
        <v>12</v>
      </c>
      <c r="B92" s="1" t="s">
        <v>152</v>
      </c>
      <c r="C92" s="1" t="s">
        <v>153</v>
      </c>
      <c r="D92" s="13">
        <v>1.7421</v>
      </c>
      <c r="E92" s="14">
        <v>33</v>
      </c>
      <c r="F92" s="15">
        <v>0</v>
      </c>
      <c r="G92" s="5">
        <v>2</v>
      </c>
      <c r="H92" s="5">
        <v>4</v>
      </c>
      <c r="I92" s="5">
        <f t="shared" si="3"/>
        <v>1</v>
      </c>
      <c r="J92" s="5">
        <f t="shared" si="4"/>
        <v>36</v>
      </c>
      <c r="K92" t="str">
        <f t="shared" si="5"/>
        <v>Mid</v>
      </c>
      <c r="L92" s="26" t="s">
        <v>237</v>
      </c>
      <c r="M92" s="29" t="s">
        <v>249</v>
      </c>
      <c r="N92" s="29" t="s">
        <v>249</v>
      </c>
      <c r="O92" s="5" t="s">
        <v>154</v>
      </c>
      <c r="Q92" s="5" t="s">
        <v>155</v>
      </c>
      <c r="R92" s="5" t="s">
        <v>156</v>
      </c>
    </row>
    <row r="93" spans="1:18" ht="15.75" customHeight="1">
      <c r="A93" s="1">
        <v>12</v>
      </c>
      <c r="B93" s="1" t="s">
        <v>152</v>
      </c>
      <c r="C93" s="1" t="s">
        <v>157</v>
      </c>
      <c r="D93" s="13">
        <v>1.4558</v>
      </c>
      <c r="E93" s="14">
        <v>35</v>
      </c>
      <c r="F93" s="15">
        <v>0</v>
      </c>
      <c r="G93" s="5">
        <v>0</v>
      </c>
      <c r="H93" s="5">
        <v>0</v>
      </c>
      <c r="I93" s="5">
        <f t="shared" si="3"/>
        <v>0</v>
      </c>
      <c r="J93" s="5">
        <f t="shared" si="4"/>
        <v>35</v>
      </c>
      <c r="K93" t="str">
        <f t="shared" si="5"/>
        <v>Mid</v>
      </c>
      <c r="M93" t="s">
        <v>250</v>
      </c>
      <c r="N93" t="s">
        <v>250</v>
      </c>
      <c r="O93" s="5" t="s">
        <v>53</v>
      </c>
    </row>
    <row r="94" spans="1:18" ht="15.75" customHeight="1">
      <c r="A94" s="1">
        <v>12</v>
      </c>
      <c r="B94" s="1" t="s">
        <v>152</v>
      </c>
      <c r="C94" s="1" t="s">
        <v>158</v>
      </c>
      <c r="D94" s="13">
        <v>1.946</v>
      </c>
      <c r="E94" s="14">
        <v>2</v>
      </c>
      <c r="F94" s="15">
        <v>5</v>
      </c>
      <c r="G94" s="5">
        <v>0</v>
      </c>
      <c r="H94" s="5">
        <v>13</v>
      </c>
      <c r="I94" s="5">
        <f t="shared" si="3"/>
        <v>3.25</v>
      </c>
      <c r="J94" s="25">
        <f>E94+G94+F94</f>
        <v>7</v>
      </c>
      <c r="K94" t="str">
        <f t="shared" si="5"/>
        <v>Low</v>
      </c>
      <c r="L94" s="26" t="s">
        <v>238</v>
      </c>
      <c r="M94" s="29" t="s">
        <v>249</v>
      </c>
      <c r="N94" s="29" t="s">
        <v>249</v>
      </c>
      <c r="O94" s="26" t="s">
        <v>240</v>
      </c>
      <c r="Q94" s="5" t="s">
        <v>159</v>
      </c>
      <c r="R94" s="5" t="s">
        <v>160</v>
      </c>
    </row>
    <row r="95" spans="1:18" ht="15.75" customHeight="1">
      <c r="A95" s="1">
        <v>12</v>
      </c>
      <c r="B95" s="1" t="s">
        <v>152</v>
      </c>
      <c r="C95" s="1" t="s">
        <v>161</v>
      </c>
      <c r="D95" s="13">
        <v>1.8415999999999999</v>
      </c>
      <c r="E95" s="14">
        <v>38</v>
      </c>
      <c r="F95" s="15">
        <v>1</v>
      </c>
      <c r="G95" s="5">
        <v>2</v>
      </c>
      <c r="H95" s="5">
        <v>4</v>
      </c>
      <c r="I95" s="5">
        <f t="shared" si="3"/>
        <v>1</v>
      </c>
      <c r="J95" s="5">
        <f t="shared" si="4"/>
        <v>41</v>
      </c>
      <c r="K95" t="str">
        <f t="shared" si="5"/>
        <v>Mid</v>
      </c>
      <c r="L95" s="5" t="s">
        <v>162</v>
      </c>
      <c r="M95" s="5" t="s">
        <v>250</v>
      </c>
      <c r="N95" s="5" t="s">
        <v>250</v>
      </c>
    </row>
    <row r="96" spans="1:18" ht="15.75" customHeight="1">
      <c r="A96" s="1">
        <v>12</v>
      </c>
      <c r="B96" s="1" t="s">
        <v>152</v>
      </c>
      <c r="C96" s="1" t="s">
        <v>163</v>
      </c>
      <c r="D96" s="13">
        <v>1.1339999999999999</v>
      </c>
      <c r="E96" s="14">
        <v>17</v>
      </c>
      <c r="F96" s="15">
        <v>0</v>
      </c>
      <c r="G96" s="5">
        <v>1</v>
      </c>
      <c r="H96" s="5">
        <v>2</v>
      </c>
      <c r="I96" s="5">
        <f t="shared" si="3"/>
        <v>0.5</v>
      </c>
      <c r="J96" s="5">
        <f t="shared" si="4"/>
        <v>18.5</v>
      </c>
      <c r="K96" t="str">
        <f t="shared" si="5"/>
        <v>Low</v>
      </c>
      <c r="L96" s="26" t="s">
        <v>233</v>
      </c>
      <c r="M96" s="29" t="s">
        <v>250</v>
      </c>
      <c r="N96" s="29" t="s">
        <v>250</v>
      </c>
      <c r="O96" s="5" t="s">
        <v>164</v>
      </c>
      <c r="Q96" s="5" t="s">
        <v>165</v>
      </c>
    </row>
    <row r="97" spans="1:18" ht="15.75" customHeight="1">
      <c r="A97" s="1">
        <v>12</v>
      </c>
      <c r="B97" s="1" t="s">
        <v>152</v>
      </c>
      <c r="C97" s="1" t="s">
        <v>166</v>
      </c>
      <c r="D97" s="13">
        <v>0.33900000000000002</v>
      </c>
      <c r="E97" s="14">
        <v>6</v>
      </c>
      <c r="F97" s="15">
        <v>0</v>
      </c>
      <c r="G97" s="5">
        <v>1</v>
      </c>
      <c r="H97" s="5">
        <v>6</v>
      </c>
      <c r="I97" s="5">
        <f t="shared" si="3"/>
        <v>1.5</v>
      </c>
      <c r="J97" s="5">
        <f t="shared" si="4"/>
        <v>8.5</v>
      </c>
      <c r="K97" t="str">
        <f t="shared" si="5"/>
        <v>Low</v>
      </c>
      <c r="M97" t="s">
        <v>253</v>
      </c>
      <c r="N97" t="s">
        <v>253</v>
      </c>
      <c r="O97" s="5" t="s">
        <v>57</v>
      </c>
    </row>
    <row r="98" spans="1:18" ht="15.75" customHeight="1">
      <c r="D98" s="2"/>
      <c r="E98" s="3"/>
      <c r="F98" s="4"/>
      <c r="I98" s="5">
        <f t="shared" si="3"/>
        <v>0</v>
      </c>
      <c r="J98" s="5">
        <f t="shared" si="4"/>
        <v>0</v>
      </c>
      <c r="K98" t="str">
        <f t="shared" si="5"/>
        <v>Low</v>
      </c>
      <c r="M98" t="s">
        <v>253</v>
      </c>
      <c r="N98" t="s">
        <v>253</v>
      </c>
    </row>
    <row r="99" spans="1:18" ht="15.75" customHeight="1">
      <c r="A99" s="1">
        <v>13</v>
      </c>
      <c r="B99" s="1" t="s">
        <v>167</v>
      </c>
      <c r="C99" s="1" t="s">
        <v>168</v>
      </c>
      <c r="D99" s="2">
        <v>1.4078999999999999</v>
      </c>
      <c r="E99" s="3">
        <v>30</v>
      </c>
      <c r="F99" s="4">
        <v>0</v>
      </c>
      <c r="G99" s="5">
        <v>2</v>
      </c>
      <c r="H99" s="5">
        <v>7</v>
      </c>
      <c r="I99" s="5">
        <f t="shared" si="3"/>
        <v>1.75</v>
      </c>
      <c r="J99" s="5">
        <f t="shared" si="4"/>
        <v>33.75</v>
      </c>
      <c r="K99" t="str">
        <f t="shared" si="5"/>
        <v>Mid</v>
      </c>
      <c r="M99" t="s">
        <v>250</v>
      </c>
      <c r="N99" t="s">
        <v>250</v>
      </c>
      <c r="P99" s="5" t="s">
        <v>169</v>
      </c>
      <c r="Q99" s="5" t="s">
        <v>170</v>
      </c>
    </row>
    <row r="100" spans="1:18" ht="15.75" customHeight="1">
      <c r="A100" s="1">
        <v>13</v>
      </c>
      <c r="B100" s="1" t="s">
        <v>167</v>
      </c>
      <c r="C100" s="1" t="s">
        <v>171</v>
      </c>
      <c r="D100" s="2">
        <v>1.0689</v>
      </c>
      <c r="E100" s="3">
        <v>24</v>
      </c>
      <c r="F100" s="4">
        <v>2</v>
      </c>
      <c r="G100" s="5">
        <v>1</v>
      </c>
      <c r="H100" s="5">
        <v>13</v>
      </c>
      <c r="I100" s="5">
        <f t="shared" si="3"/>
        <v>3.25</v>
      </c>
      <c r="J100" s="5">
        <f t="shared" si="4"/>
        <v>28.25</v>
      </c>
      <c r="K100" t="str">
        <f t="shared" si="5"/>
        <v>Mid</v>
      </c>
      <c r="M100" t="s">
        <v>250</v>
      </c>
      <c r="N100" t="s">
        <v>250</v>
      </c>
      <c r="Q100" s="5" t="s">
        <v>172</v>
      </c>
    </row>
    <row r="101" spans="1:18" ht="15.75" customHeight="1">
      <c r="A101" s="1">
        <v>13</v>
      </c>
      <c r="B101" s="1" t="s">
        <v>167</v>
      </c>
      <c r="C101" s="1" t="s">
        <v>173</v>
      </c>
      <c r="D101" s="2" t="s">
        <v>76</v>
      </c>
      <c r="E101" s="3" t="s">
        <v>76</v>
      </c>
      <c r="F101" s="4" t="s">
        <v>76</v>
      </c>
      <c r="G101" s="5" t="s">
        <v>76</v>
      </c>
      <c r="H101" s="5" t="s">
        <v>76</v>
      </c>
      <c r="I101" s="5" t="e">
        <f t="shared" si="3"/>
        <v>#VALUE!</v>
      </c>
      <c r="J101" s="26" t="s">
        <v>76</v>
      </c>
      <c r="K101" t="str">
        <f t="shared" si="5"/>
        <v>High</v>
      </c>
      <c r="L101" s="26" t="s">
        <v>238</v>
      </c>
      <c r="M101" s="29" t="s">
        <v>248</v>
      </c>
      <c r="N101" s="29" t="s">
        <v>248</v>
      </c>
      <c r="O101" s="5" t="s">
        <v>53</v>
      </c>
      <c r="Q101" s="5" t="s">
        <v>174</v>
      </c>
    </row>
    <row r="102" spans="1:18" ht="15.75" customHeight="1">
      <c r="A102" s="1">
        <v>13</v>
      </c>
      <c r="B102" s="1" t="s">
        <v>167</v>
      </c>
      <c r="C102" s="1" t="s">
        <v>175</v>
      </c>
      <c r="D102" s="2">
        <v>1.6204000000000001</v>
      </c>
      <c r="E102" s="3">
        <v>43</v>
      </c>
      <c r="F102" s="4">
        <v>5</v>
      </c>
      <c r="G102" s="5">
        <v>5</v>
      </c>
      <c r="H102" s="5">
        <v>22</v>
      </c>
      <c r="I102" s="5">
        <f t="shared" si="3"/>
        <v>5.5</v>
      </c>
      <c r="J102" s="5">
        <f t="shared" si="4"/>
        <v>53.5</v>
      </c>
      <c r="K102" t="str">
        <f t="shared" si="5"/>
        <v>High</v>
      </c>
      <c r="L102" s="26" t="s">
        <v>237</v>
      </c>
      <c r="M102" s="29" t="s">
        <v>248</v>
      </c>
      <c r="N102" s="29" t="s">
        <v>248</v>
      </c>
      <c r="Q102" s="5" t="s">
        <v>176</v>
      </c>
    </row>
    <row r="103" spans="1:18" ht="15.75" customHeight="1">
      <c r="A103" s="1">
        <v>13</v>
      </c>
      <c r="B103" s="1" t="s">
        <v>167</v>
      </c>
      <c r="C103" s="1" t="s">
        <v>177</v>
      </c>
      <c r="D103" s="2">
        <v>1.4021999999999999</v>
      </c>
      <c r="E103" s="3">
        <v>23</v>
      </c>
      <c r="F103" s="4">
        <v>18</v>
      </c>
      <c r="G103" s="5">
        <v>7</v>
      </c>
      <c r="H103" s="5">
        <v>37</v>
      </c>
      <c r="I103" s="5">
        <f t="shared" si="3"/>
        <v>9.25</v>
      </c>
      <c r="J103" s="5">
        <f t="shared" si="4"/>
        <v>39.25</v>
      </c>
      <c r="K103" t="str">
        <f t="shared" si="5"/>
        <v>Mid</v>
      </c>
      <c r="L103" s="26" t="s">
        <v>237</v>
      </c>
      <c r="M103" s="29" t="s">
        <v>249</v>
      </c>
      <c r="N103" s="29" t="s">
        <v>249</v>
      </c>
      <c r="Q103" s="5" t="s">
        <v>178</v>
      </c>
    </row>
    <row r="104" spans="1:18" ht="15.75" customHeight="1">
      <c r="A104" s="1">
        <v>13</v>
      </c>
      <c r="B104" s="1" t="s">
        <v>167</v>
      </c>
      <c r="C104" s="1" t="s">
        <v>179</v>
      </c>
      <c r="D104" s="2">
        <v>0.87409999999999999</v>
      </c>
      <c r="E104" s="3">
        <v>15</v>
      </c>
      <c r="F104" s="4">
        <v>21</v>
      </c>
      <c r="G104" s="5">
        <v>2</v>
      </c>
      <c r="H104" s="5">
        <v>26</v>
      </c>
      <c r="I104" s="5">
        <f t="shared" si="3"/>
        <v>6.5</v>
      </c>
      <c r="J104" s="5">
        <f>E104+G104+F104</f>
        <v>38</v>
      </c>
      <c r="K104" t="str">
        <f t="shared" si="5"/>
        <v>Mid</v>
      </c>
      <c r="L104" s="26" t="s">
        <v>237</v>
      </c>
      <c r="M104" s="29" t="s">
        <v>249</v>
      </c>
      <c r="N104" s="29" t="s">
        <v>249</v>
      </c>
      <c r="O104" s="5" t="s">
        <v>180</v>
      </c>
      <c r="Q104" s="5" t="s">
        <v>181</v>
      </c>
      <c r="R104" s="5" t="s">
        <v>182</v>
      </c>
    </row>
    <row r="105" spans="1:18" ht="15.75" customHeight="1">
      <c r="D105" s="2"/>
      <c r="E105" s="3"/>
      <c r="F105" s="4"/>
      <c r="I105" s="5">
        <f t="shared" si="3"/>
        <v>0</v>
      </c>
      <c r="J105" s="5">
        <f t="shared" si="4"/>
        <v>0</v>
      </c>
      <c r="K105" t="str">
        <f t="shared" si="5"/>
        <v>Low</v>
      </c>
      <c r="M105" t="s">
        <v>253</v>
      </c>
      <c r="N105" t="s">
        <v>253</v>
      </c>
    </row>
    <row r="106" spans="1:18" ht="15.75" customHeight="1">
      <c r="A106" s="1">
        <v>14</v>
      </c>
      <c r="B106" s="1" t="s">
        <v>183</v>
      </c>
      <c r="C106" s="1" t="s">
        <v>184</v>
      </c>
      <c r="D106" s="2"/>
      <c r="E106" s="3"/>
      <c r="F106" s="4"/>
      <c r="I106" s="5">
        <f t="shared" si="3"/>
        <v>0</v>
      </c>
      <c r="J106" s="5">
        <f t="shared" si="4"/>
        <v>0</v>
      </c>
      <c r="K106" t="str">
        <f t="shared" si="5"/>
        <v>Low</v>
      </c>
      <c r="M106" t="s">
        <v>253</v>
      </c>
      <c r="N106" t="s">
        <v>253</v>
      </c>
      <c r="R106" s="5" t="s">
        <v>185</v>
      </c>
    </row>
    <row r="107" spans="1:18" ht="15.75" customHeight="1">
      <c r="A107" s="1">
        <v>14</v>
      </c>
      <c r="B107" s="1" t="s">
        <v>183</v>
      </c>
      <c r="C107" s="1" t="s">
        <v>186</v>
      </c>
      <c r="D107" s="2">
        <v>0</v>
      </c>
      <c r="E107" s="3">
        <v>0</v>
      </c>
      <c r="F107" s="4">
        <v>0</v>
      </c>
      <c r="G107" s="5">
        <v>0</v>
      </c>
      <c r="H107" s="5">
        <v>0</v>
      </c>
      <c r="I107" s="5">
        <f t="shared" si="3"/>
        <v>0</v>
      </c>
      <c r="J107" s="26" t="s">
        <v>76</v>
      </c>
      <c r="K107" t="str">
        <f t="shared" si="5"/>
        <v>High</v>
      </c>
      <c r="L107" s="26" t="s">
        <v>238</v>
      </c>
      <c r="M107" s="29" t="s">
        <v>248</v>
      </c>
      <c r="N107" s="29" t="s">
        <v>248</v>
      </c>
      <c r="Q107" s="5" t="s">
        <v>174</v>
      </c>
    </row>
    <row r="108" spans="1:18" ht="15.75" customHeight="1">
      <c r="A108" s="1">
        <v>14</v>
      </c>
      <c r="B108" s="1" t="s">
        <v>183</v>
      </c>
      <c r="C108" s="1" t="s">
        <v>187</v>
      </c>
      <c r="D108" s="2">
        <v>0</v>
      </c>
      <c r="E108" s="3">
        <v>0</v>
      </c>
      <c r="F108" s="4">
        <v>0</v>
      </c>
      <c r="G108" s="5">
        <v>0</v>
      </c>
      <c r="H108" s="5">
        <v>0</v>
      </c>
      <c r="I108" s="5">
        <f t="shared" si="3"/>
        <v>0</v>
      </c>
      <c r="J108" s="26" t="s">
        <v>76</v>
      </c>
      <c r="K108" t="str">
        <f t="shared" si="5"/>
        <v>High</v>
      </c>
      <c r="L108" s="26" t="s">
        <v>238</v>
      </c>
      <c r="M108" s="29" t="s">
        <v>248</v>
      </c>
      <c r="N108" s="29" t="s">
        <v>248</v>
      </c>
      <c r="Q108" s="5" t="s">
        <v>174</v>
      </c>
    </row>
    <row r="109" spans="1:18" ht="15.75" customHeight="1">
      <c r="A109" s="1">
        <v>14</v>
      </c>
      <c r="B109" s="1" t="s">
        <v>183</v>
      </c>
      <c r="C109" s="1" t="s">
        <v>188</v>
      </c>
      <c r="D109" s="2">
        <v>3.9E-2</v>
      </c>
      <c r="E109" s="3">
        <v>1</v>
      </c>
      <c r="F109" s="4">
        <v>0</v>
      </c>
      <c r="G109" s="5">
        <v>0</v>
      </c>
      <c r="H109" s="5">
        <v>0</v>
      </c>
      <c r="I109" s="5">
        <f t="shared" si="3"/>
        <v>0</v>
      </c>
      <c r="J109" s="26" t="s">
        <v>76</v>
      </c>
      <c r="K109" t="str">
        <f t="shared" si="5"/>
        <v>High</v>
      </c>
      <c r="L109" s="26" t="s">
        <v>238</v>
      </c>
      <c r="M109" s="29" t="s">
        <v>248</v>
      </c>
      <c r="N109" s="29" t="s">
        <v>248</v>
      </c>
      <c r="Q109" s="5" t="s">
        <v>189</v>
      </c>
    </row>
    <row r="110" spans="1:18" ht="15.75" customHeight="1">
      <c r="A110" s="1">
        <v>14</v>
      </c>
      <c r="B110" s="1" t="s">
        <v>183</v>
      </c>
      <c r="C110" s="1" t="s">
        <v>190</v>
      </c>
      <c r="D110" s="2">
        <v>0</v>
      </c>
      <c r="E110" s="3">
        <v>0</v>
      </c>
      <c r="F110" s="4">
        <v>0</v>
      </c>
      <c r="G110" s="5">
        <v>0</v>
      </c>
      <c r="H110" s="5">
        <v>0</v>
      </c>
      <c r="I110" s="5">
        <f t="shared" si="3"/>
        <v>0</v>
      </c>
      <c r="J110" s="26" t="s">
        <v>76</v>
      </c>
      <c r="K110" t="str">
        <f t="shared" si="5"/>
        <v>High</v>
      </c>
      <c r="L110" s="26" t="s">
        <v>238</v>
      </c>
      <c r="M110" s="29" t="s">
        <v>248</v>
      </c>
      <c r="N110" s="29" t="s">
        <v>248</v>
      </c>
      <c r="Q110" s="5" t="s">
        <v>174</v>
      </c>
    </row>
    <row r="111" spans="1:18" ht="15.75" customHeight="1">
      <c r="A111" s="1">
        <v>14</v>
      </c>
      <c r="B111" s="1" t="s">
        <v>183</v>
      </c>
      <c r="C111" s="32" t="s">
        <v>191</v>
      </c>
      <c r="D111" s="2">
        <v>1.6765000000000001</v>
      </c>
      <c r="E111" s="3">
        <v>43</v>
      </c>
      <c r="F111" s="4">
        <v>0</v>
      </c>
      <c r="G111" s="5">
        <v>0</v>
      </c>
      <c r="H111" s="5">
        <v>1</v>
      </c>
      <c r="I111" s="5">
        <f t="shared" si="3"/>
        <v>0.25</v>
      </c>
      <c r="J111" s="5">
        <f t="shared" si="4"/>
        <v>43.25</v>
      </c>
      <c r="K111" t="str">
        <f t="shared" si="5"/>
        <v>Mid</v>
      </c>
      <c r="M111" t="s">
        <v>250</v>
      </c>
      <c r="N111" s="30" t="s">
        <v>249</v>
      </c>
    </row>
    <row r="112" spans="1:18" ht="15.75" customHeight="1">
      <c r="A112" s="1">
        <v>14</v>
      </c>
      <c r="B112" s="1" t="s">
        <v>183</v>
      </c>
      <c r="C112" s="32" t="s">
        <v>191</v>
      </c>
      <c r="D112" s="2">
        <v>1.4572000000000001</v>
      </c>
      <c r="E112" s="3">
        <v>35</v>
      </c>
      <c r="F112" s="4">
        <v>0</v>
      </c>
      <c r="G112" s="5">
        <v>0</v>
      </c>
      <c r="H112" s="5">
        <v>2</v>
      </c>
      <c r="I112" s="5">
        <f t="shared" si="3"/>
        <v>0.5</v>
      </c>
      <c r="J112" s="5">
        <f t="shared" si="4"/>
        <v>35.5</v>
      </c>
      <c r="K112" t="str">
        <f t="shared" si="5"/>
        <v>Mid</v>
      </c>
      <c r="L112" s="26" t="s">
        <v>236</v>
      </c>
      <c r="M112" s="26" t="s">
        <v>250</v>
      </c>
      <c r="N112" s="26"/>
      <c r="Q112" s="26" t="s">
        <v>241</v>
      </c>
      <c r="R112" s="5" t="s">
        <v>192</v>
      </c>
    </row>
    <row r="113" spans="1:17" ht="15.75" customHeight="1">
      <c r="D113" s="2"/>
      <c r="E113" s="3"/>
      <c r="F113" s="4"/>
      <c r="I113" s="5">
        <f t="shared" si="3"/>
        <v>0</v>
      </c>
      <c r="J113" s="5">
        <f t="shared" si="4"/>
        <v>0</v>
      </c>
      <c r="K113" t="str">
        <f t="shared" si="5"/>
        <v>Low</v>
      </c>
      <c r="M113" t="s">
        <v>253</v>
      </c>
      <c r="N113" t="s">
        <v>253</v>
      </c>
    </row>
    <row r="114" spans="1:17" ht="15.75" customHeight="1">
      <c r="A114" s="1">
        <v>15</v>
      </c>
      <c r="B114" s="1" t="s">
        <v>193</v>
      </c>
      <c r="C114" s="1" t="s">
        <v>194</v>
      </c>
      <c r="D114" s="2">
        <v>2.4075000000000002</v>
      </c>
      <c r="E114" s="3">
        <v>39</v>
      </c>
      <c r="F114" s="4">
        <v>0</v>
      </c>
      <c r="G114" s="5">
        <v>4</v>
      </c>
      <c r="H114" s="5">
        <v>13</v>
      </c>
      <c r="I114" s="5">
        <f t="shared" si="3"/>
        <v>3.25</v>
      </c>
      <c r="J114" s="5">
        <f t="shared" si="4"/>
        <v>46.25</v>
      </c>
      <c r="K114" t="str">
        <f t="shared" si="5"/>
        <v>Mid</v>
      </c>
      <c r="L114" s="26" t="s">
        <v>236</v>
      </c>
      <c r="M114" s="26" t="s">
        <v>250</v>
      </c>
      <c r="N114" s="26" t="s">
        <v>250</v>
      </c>
      <c r="Q114" s="5" t="s">
        <v>195</v>
      </c>
    </row>
    <row r="115" spans="1:17" ht="15.75" customHeight="1">
      <c r="A115" s="1">
        <v>15</v>
      </c>
      <c r="B115" s="1" t="s">
        <v>193</v>
      </c>
      <c r="C115" s="1" t="s">
        <v>196</v>
      </c>
      <c r="D115" s="2">
        <v>0.22670000000000001</v>
      </c>
      <c r="E115" s="3">
        <v>5</v>
      </c>
      <c r="F115" s="4">
        <v>0</v>
      </c>
      <c r="G115" s="5">
        <v>0</v>
      </c>
      <c r="H115" s="5">
        <v>1</v>
      </c>
      <c r="I115" s="5">
        <f t="shared" si="3"/>
        <v>0.25</v>
      </c>
      <c r="J115" s="5">
        <f t="shared" si="4"/>
        <v>5.25</v>
      </c>
      <c r="K115" t="str">
        <f t="shared" si="5"/>
        <v>Low</v>
      </c>
      <c r="M115" t="s">
        <v>253</v>
      </c>
      <c r="N115" t="s">
        <v>253</v>
      </c>
      <c r="Q115" s="5" t="s">
        <v>197</v>
      </c>
    </row>
    <row r="116" spans="1:17" ht="15.75" customHeight="1">
      <c r="A116" s="1">
        <v>15</v>
      </c>
      <c r="B116" s="1" t="s">
        <v>193</v>
      </c>
      <c r="C116" s="1" t="s">
        <v>198</v>
      </c>
      <c r="D116" s="2">
        <v>0</v>
      </c>
      <c r="E116" s="3"/>
      <c r="F116" s="4"/>
      <c r="I116" s="5">
        <f t="shared" si="3"/>
        <v>0</v>
      </c>
      <c r="J116" s="26" t="s">
        <v>76</v>
      </c>
      <c r="K116" t="str">
        <f t="shared" si="5"/>
        <v>High</v>
      </c>
      <c r="L116" s="26" t="s">
        <v>237</v>
      </c>
      <c r="M116" s="29" t="s">
        <v>248</v>
      </c>
      <c r="N116" s="29" t="s">
        <v>248</v>
      </c>
      <c r="Q116" s="5" t="s">
        <v>199</v>
      </c>
    </row>
    <row r="117" spans="1:17" ht="15.75" customHeight="1">
      <c r="A117" s="1">
        <v>15</v>
      </c>
      <c r="B117" s="1" t="s">
        <v>193</v>
      </c>
      <c r="C117" s="1" t="s">
        <v>200</v>
      </c>
      <c r="D117" s="2">
        <v>2.0428000000000002</v>
      </c>
      <c r="E117" s="3">
        <v>44</v>
      </c>
      <c r="F117" s="4">
        <v>1</v>
      </c>
      <c r="G117" s="5">
        <v>2</v>
      </c>
      <c r="H117" s="5">
        <v>20</v>
      </c>
      <c r="I117" s="5">
        <f t="shared" si="3"/>
        <v>5</v>
      </c>
      <c r="J117" s="5">
        <f t="shared" si="4"/>
        <v>51</v>
      </c>
      <c r="K117" t="str">
        <f t="shared" si="5"/>
        <v>High</v>
      </c>
      <c r="L117" s="26" t="s">
        <v>236</v>
      </c>
      <c r="M117" s="26" t="s">
        <v>249</v>
      </c>
      <c r="N117" s="26" t="s">
        <v>249</v>
      </c>
      <c r="O117" s="5" t="s">
        <v>201</v>
      </c>
      <c r="Q117" s="5" t="s">
        <v>202</v>
      </c>
    </row>
    <row r="118" spans="1:17" ht="15.75" customHeight="1">
      <c r="A118" s="1">
        <v>15</v>
      </c>
      <c r="B118" s="1" t="s">
        <v>193</v>
      </c>
      <c r="C118" s="1" t="s">
        <v>203</v>
      </c>
      <c r="D118" s="2">
        <v>0.83279999999999998</v>
      </c>
      <c r="E118" s="3">
        <v>15</v>
      </c>
      <c r="F118" s="4">
        <v>0</v>
      </c>
      <c r="G118" s="5">
        <v>1</v>
      </c>
      <c r="H118" s="5">
        <v>3</v>
      </c>
      <c r="I118" s="5">
        <f t="shared" si="3"/>
        <v>0.75</v>
      </c>
      <c r="J118" s="5">
        <f t="shared" si="4"/>
        <v>16.75</v>
      </c>
      <c r="K118" t="str">
        <f t="shared" si="5"/>
        <v>Low</v>
      </c>
      <c r="M118" t="s">
        <v>253</v>
      </c>
      <c r="N118" t="s">
        <v>253</v>
      </c>
      <c r="Q118" s="5" t="s">
        <v>70</v>
      </c>
    </row>
    <row r="119" spans="1:17" ht="15.75" customHeight="1">
      <c r="A119" s="1">
        <v>15</v>
      </c>
      <c r="B119" s="1" t="s">
        <v>193</v>
      </c>
      <c r="C119" s="1" t="s">
        <v>204</v>
      </c>
      <c r="D119" s="2">
        <v>0.54469999999999996</v>
      </c>
      <c r="E119" s="3">
        <v>15</v>
      </c>
      <c r="F119" s="4">
        <v>0</v>
      </c>
      <c r="G119" s="5">
        <v>0</v>
      </c>
      <c r="H119" s="5">
        <v>0</v>
      </c>
      <c r="I119" s="5">
        <f t="shared" si="3"/>
        <v>0</v>
      </c>
      <c r="J119" s="5">
        <f t="shared" si="4"/>
        <v>15</v>
      </c>
      <c r="K119" t="str">
        <f t="shared" si="5"/>
        <v>Low</v>
      </c>
      <c r="M119" t="s">
        <v>253</v>
      </c>
      <c r="N119" t="s">
        <v>253</v>
      </c>
    </row>
    <row r="120" spans="1:17" ht="15.75" customHeight="1">
      <c r="D120" s="2"/>
      <c r="E120" s="3"/>
      <c r="F120" s="4"/>
      <c r="I120" s="5">
        <f t="shared" si="3"/>
        <v>0</v>
      </c>
      <c r="J120" s="5">
        <f t="shared" si="4"/>
        <v>0</v>
      </c>
      <c r="K120" t="str">
        <f t="shared" si="5"/>
        <v>Low</v>
      </c>
      <c r="M120" t="s">
        <v>253</v>
      </c>
      <c r="N120" t="s">
        <v>253</v>
      </c>
    </row>
    <row r="121" spans="1:17" ht="15.75" customHeight="1">
      <c r="A121" s="1">
        <v>16</v>
      </c>
      <c r="B121" s="1" t="s">
        <v>205</v>
      </c>
      <c r="C121" s="1" t="s">
        <v>206</v>
      </c>
      <c r="D121" s="2">
        <v>0</v>
      </c>
      <c r="E121" s="3">
        <v>0</v>
      </c>
      <c r="F121" s="4">
        <v>0</v>
      </c>
      <c r="G121" s="5">
        <v>0</v>
      </c>
      <c r="H121" s="5">
        <v>0</v>
      </c>
      <c r="I121" s="5">
        <f t="shared" si="3"/>
        <v>0</v>
      </c>
      <c r="J121" s="5">
        <f t="shared" si="4"/>
        <v>0</v>
      </c>
      <c r="K121" t="str">
        <f t="shared" si="5"/>
        <v>Low</v>
      </c>
      <c r="M121" t="s">
        <v>253</v>
      </c>
      <c r="N121" t="s">
        <v>253</v>
      </c>
      <c r="Q121" s="5" t="s">
        <v>207</v>
      </c>
    </row>
    <row r="122" spans="1:17" ht="15.75" customHeight="1">
      <c r="A122" s="1">
        <v>16</v>
      </c>
      <c r="B122" s="1" t="s">
        <v>205</v>
      </c>
      <c r="C122" s="1" t="s">
        <v>208</v>
      </c>
      <c r="D122" s="2">
        <v>0</v>
      </c>
      <c r="E122" s="3">
        <v>0</v>
      </c>
      <c r="F122" s="4">
        <v>0</v>
      </c>
      <c r="G122" s="5">
        <v>0</v>
      </c>
      <c r="H122" s="5">
        <v>0</v>
      </c>
      <c r="I122" s="5">
        <f t="shared" si="3"/>
        <v>0</v>
      </c>
      <c r="J122" s="26" t="s">
        <v>76</v>
      </c>
      <c r="K122" t="str">
        <f t="shared" si="5"/>
        <v>High</v>
      </c>
      <c r="M122" t="s">
        <v>249</v>
      </c>
      <c r="N122" t="s">
        <v>249</v>
      </c>
      <c r="Q122" s="5" t="s">
        <v>209</v>
      </c>
    </row>
    <row r="123" spans="1:17" ht="15.75" customHeight="1">
      <c r="A123" s="1">
        <v>16</v>
      </c>
      <c r="B123" s="1" t="s">
        <v>205</v>
      </c>
      <c r="C123" s="1" t="s">
        <v>210</v>
      </c>
      <c r="D123" s="2">
        <v>8.7800000000000003E-2</v>
      </c>
      <c r="E123" s="3">
        <v>2</v>
      </c>
      <c r="F123" s="4">
        <v>0</v>
      </c>
      <c r="G123" s="5">
        <v>0</v>
      </c>
      <c r="H123" s="5">
        <v>0</v>
      </c>
      <c r="I123" s="5">
        <f t="shared" si="3"/>
        <v>0</v>
      </c>
      <c r="J123" s="5">
        <f t="shared" si="4"/>
        <v>2</v>
      </c>
      <c r="K123" t="str">
        <f t="shared" si="5"/>
        <v>Low</v>
      </c>
      <c r="M123" t="s">
        <v>253</v>
      </c>
      <c r="N123" t="s">
        <v>253</v>
      </c>
    </row>
    <row r="124" spans="1:17" ht="15.75" customHeight="1">
      <c r="A124" s="1">
        <v>16</v>
      </c>
      <c r="B124" s="1" t="s">
        <v>205</v>
      </c>
      <c r="C124" s="1" t="s">
        <v>211</v>
      </c>
      <c r="D124" s="2">
        <v>2.0400000000000001E-2</v>
      </c>
      <c r="E124" s="3">
        <v>1</v>
      </c>
      <c r="F124" s="4">
        <v>0</v>
      </c>
      <c r="G124" s="5">
        <v>0</v>
      </c>
      <c r="H124" s="5">
        <v>0</v>
      </c>
      <c r="I124" s="5">
        <f t="shared" si="3"/>
        <v>0</v>
      </c>
      <c r="J124" s="26" t="s">
        <v>76</v>
      </c>
      <c r="K124" t="str">
        <f t="shared" si="5"/>
        <v>High</v>
      </c>
      <c r="L124" s="26" t="s">
        <v>238</v>
      </c>
      <c r="M124" s="29" t="s">
        <v>248</v>
      </c>
      <c r="N124" s="29" t="s">
        <v>248</v>
      </c>
      <c r="Q124" s="5" t="s">
        <v>212</v>
      </c>
    </row>
    <row r="125" spans="1:17" ht="15.75" customHeight="1">
      <c r="A125" s="1">
        <v>16</v>
      </c>
      <c r="B125" s="1" t="s">
        <v>205</v>
      </c>
      <c r="C125" s="1" t="s">
        <v>213</v>
      </c>
      <c r="D125" s="2">
        <v>0</v>
      </c>
      <c r="E125" s="3">
        <v>0</v>
      </c>
      <c r="F125" s="4">
        <v>0</v>
      </c>
      <c r="G125" s="5">
        <v>0</v>
      </c>
      <c r="H125" s="5">
        <v>0</v>
      </c>
      <c r="I125" s="5">
        <f t="shared" si="3"/>
        <v>0</v>
      </c>
      <c r="J125" s="26" t="s">
        <v>76</v>
      </c>
      <c r="K125" t="str">
        <f t="shared" si="5"/>
        <v>High</v>
      </c>
      <c r="L125" s="26" t="s">
        <v>238</v>
      </c>
      <c r="M125" s="29" t="s">
        <v>248</v>
      </c>
      <c r="N125" s="29" t="s">
        <v>248</v>
      </c>
      <c r="Q125" s="5" t="s">
        <v>214</v>
      </c>
    </row>
    <row r="126" spans="1:17" ht="15.75" customHeight="1">
      <c r="A126" s="1">
        <v>16</v>
      </c>
      <c r="B126" s="1" t="s">
        <v>205</v>
      </c>
      <c r="C126" s="1" t="s">
        <v>215</v>
      </c>
      <c r="D126" s="2">
        <v>1.1444000000000001</v>
      </c>
      <c r="E126" s="3">
        <v>31</v>
      </c>
      <c r="F126" s="4">
        <v>0</v>
      </c>
      <c r="G126" s="5">
        <v>1</v>
      </c>
      <c r="H126" s="5">
        <v>4</v>
      </c>
      <c r="I126" s="5">
        <f t="shared" si="3"/>
        <v>1</v>
      </c>
      <c r="J126" s="5">
        <f t="shared" si="4"/>
        <v>33</v>
      </c>
      <c r="K126" t="str">
        <f t="shared" si="5"/>
        <v>Mid</v>
      </c>
      <c r="M126" t="s">
        <v>250</v>
      </c>
      <c r="N126" t="s">
        <v>250</v>
      </c>
      <c r="O126" s="5" t="s">
        <v>53</v>
      </c>
    </row>
    <row r="127" spans="1:17" ht="15.75" customHeight="1">
      <c r="D127" s="2"/>
      <c r="E127" s="3"/>
      <c r="F127" s="4"/>
      <c r="I127" s="5">
        <f t="shared" si="3"/>
        <v>0</v>
      </c>
      <c r="J127" s="5">
        <f t="shared" si="4"/>
        <v>0</v>
      </c>
      <c r="K127" t="str">
        <f t="shared" si="5"/>
        <v>Low</v>
      </c>
      <c r="M127" t="s">
        <v>253</v>
      </c>
      <c r="N127" t="s">
        <v>253</v>
      </c>
    </row>
    <row r="128" spans="1:17" ht="15.75" customHeight="1">
      <c r="A128" s="1">
        <v>17</v>
      </c>
      <c r="B128" s="1" t="s">
        <v>216</v>
      </c>
      <c r="C128" s="1" t="s">
        <v>217</v>
      </c>
      <c r="D128" s="2">
        <v>3.9495</v>
      </c>
      <c r="E128" s="3">
        <v>81</v>
      </c>
      <c r="F128" s="4">
        <v>0</v>
      </c>
      <c r="G128" s="5">
        <v>1</v>
      </c>
      <c r="H128" s="5">
        <v>17</v>
      </c>
      <c r="I128" s="5">
        <f t="shared" si="3"/>
        <v>4.25</v>
      </c>
      <c r="J128" s="5">
        <f t="shared" si="4"/>
        <v>86.25</v>
      </c>
      <c r="K128" t="str">
        <f t="shared" si="5"/>
        <v>High</v>
      </c>
      <c r="M128" t="s">
        <v>249</v>
      </c>
      <c r="N128" t="s">
        <v>249</v>
      </c>
      <c r="O128" s="5" t="s">
        <v>218</v>
      </c>
      <c r="Q128" s="5" t="s">
        <v>219</v>
      </c>
    </row>
    <row r="129" spans="1:18" ht="15.75" customHeight="1">
      <c r="A129" s="1">
        <v>17</v>
      </c>
      <c r="B129" s="1" t="s">
        <v>216</v>
      </c>
      <c r="C129" s="1" t="s">
        <v>220</v>
      </c>
      <c r="D129" s="2">
        <v>1.1399999999999999</v>
      </c>
      <c r="E129" s="3">
        <v>22</v>
      </c>
      <c r="F129" s="4">
        <v>0</v>
      </c>
      <c r="G129" s="5">
        <v>1</v>
      </c>
      <c r="H129" s="5">
        <v>28</v>
      </c>
      <c r="I129" s="5">
        <f t="shared" si="3"/>
        <v>7</v>
      </c>
      <c r="J129" s="5">
        <f t="shared" si="4"/>
        <v>30</v>
      </c>
      <c r="K129" t="str">
        <f t="shared" si="5"/>
        <v>Mid</v>
      </c>
      <c r="M129" t="s">
        <v>250</v>
      </c>
      <c r="N129" t="s">
        <v>250</v>
      </c>
      <c r="R129" s="5" t="s">
        <v>221</v>
      </c>
    </row>
    <row r="130" spans="1:18" ht="15.75" customHeight="1">
      <c r="A130" s="1">
        <v>17</v>
      </c>
      <c r="B130" s="1" t="s">
        <v>216</v>
      </c>
      <c r="C130" s="1" t="s">
        <v>222</v>
      </c>
      <c r="D130" s="2">
        <v>1.0395000000000001</v>
      </c>
      <c r="E130" s="3">
        <v>11</v>
      </c>
      <c r="F130" s="4">
        <v>6</v>
      </c>
      <c r="G130" s="5">
        <v>8</v>
      </c>
      <c r="H130" s="5">
        <v>42</v>
      </c>
      <c r="I130" s="5">
        <f t="shared" si="3"/>
        <v>10.5</v>
      </c>
      <c r="J130" s="5">
        <f t="shared" si="4"/>
        <v>29.5</v>
      </c>
      <c r="K130" t="str">
        <f t="shared" si="5"/>
        <v>Mid</v>
      </c>
      <c r="L130" s="26" t="s">
        <v>237</v>
      </c>
      <c r="M130" s="29" t="s">
        <v>249</v>
      </c>
      <c r="N130" s="29" t="s">
        <v>249</v>
      </c>
      <c r="Q130" s="5" t="s">
        <v>223</v>
      </c>
      <c r="R130" s="5" t="s">
        <v>224</v>
      </c>
    </row>
    <row r="131" spans="1:18" ht="15.75" customHeight="1">
      <c r="A131" s="1">
        <v>17</v>
      </c>
      <c r="B131" s="1" t="s">
        <v>216</v>
      </c>
      <c r="C131" s="1" t="s">
        <v>225</v>
      </c>
      <c r="D131" s="16">
        <v>0.27539999999999998</v>
      </c>
      <c r="E131" s="1">
        <v>9</v>
      </c>
      <c r="F131" s="1">
        <v>0</v>
      </c>
      <c r="G131" s="5">
        <v>0</v>
      </c>
      <c r="H131" s="5">
        <v>0</v>
      </c>
      <c r="I131" s="5">
        <f t="shared" ref="I131:I133" si="6">H131/4</f>
        <v>0</v>
      </c>
      <c r="J131" s="5">
        <f t="shared" ref="J131" si="7">E131+G131+I131</f>
        <v>9</v>
      </c>
      <c r="K131" t="str">
        <f t="shared" ref="K131:K133" si="8">IF(J131&lt;20,"Low", IF(AND(J131&gt;20,J131&lt;50),"Mid", IF(J131&gt;50,"High")))</f>
        <v>Low</v>
      </c>
      <c r="L131" s="26" t="s">
        <v>233</v>
      </c>
      <c r="M131" s="29" t="s">
        <v>250</v>
      </c>
      <c r="N131" s="29" t="s">
        <v>250</v>
      </c>
      <c r="Q131" s="5" t="s">
        <v>226</v>
      </c>
      <c r="R131" s="5" t="s">
        <v>227</v>
      </c>
    </row>
    <row r="132" spans="1:18" ht="15.75" customHeight="1">
      <c r="A132" s="1">
        <v>17</v>
      </c>
      <c r="B132" s="1" t="s">
        <v>216</v>
      </c>
      <c r="C132" s="1" t="s">
        <v>228</v>
      </c>
      <c r="D132" s="16">
        <v>0</v>
      </c>
      <c r="E132" s="1">
        <v>0</v>
      </c>
      <c r="F132" s="1">
        <v>0</v>
      </c>
      <c r="G132" s="5">
        <v>0</v>
      </c>
      <c r="H132" s="5">
        <v>0</v>
      </c>
      <c r="I132" s="5">
        <f t="shared" si="6"/>
        <v>0</v>
      </c>
      <c r="J132" s="26" t="s">
        <v>76</v>
      </c>
      <c r="K132" t="str">
        <f t="shared" si="8"/>
        <v>High</v>
      </c>
      <c r="L132" s="26" t="s">
        <v>238</v>
      </c>
      <c r="M132" s="29" t="s">
        <v>248</v>
      </c>
      <c r="N132" s="29" t="s">
        <v>248</v>
      </c>
      <c r="Q132" s="5" t="s">
        <v>229</v>
      </c>
    </row>
    <row r="133" spans="1:18" ht="15.75" customHeight="1">
      <c r="A133" s="1">
        <v>17</v>
      </c>
      <c r="B133" s="1" t="s">
        <v>216</v>
      </c>
      <c r="C133" s="1" t="s">
        <v>230</v>
      </c>
      <c r="D133" s="16">
        <v>0</v>
      </c>
      <c r="E133" s="1">
        <v>0</v>
      </c>
      <c r="F133" s="1">
        <v>0</v>
      </c>
      <c r="G133" s="5">
        <v>0</v>
      </c>
      <c r="H133" s="5">
        <v>0</v>
      </c>
      <c r="I133" s="5">
        <f t="shared" si="6"/>
        <v>0</v>
      </c>
      <c r="J133" s="26" t="s">
        <v>76</v>
      </c>
      <c r="K133" t="str">
        <f t="shared" si="8"/>
        <v>High</v>
      </c>
      <c r="L133" s="26" t="s">
        <v>238</v>
      </c>
      <c r="M133" s="29" t="s">
        <v>248</v>
      </c>
      <c r="N133" s="29" t="s">
        <v>248</v>
      </c>
      <c r="Q133" s="5" t="s">
        <v>229</v>
      </c>
    </row>
    <row r="134" spans="1:18" ht="15.75" customHeight="1">
      <c r="D134" s="17"/>
    </row>
    <row r="135" spans="1:18" ht="15.75" customHeight="1">
      <c r="D135" s="17"/>
    </row>
    <row r="136" spans="1:18" ht="15.75" customHeight="1">
      <c r="D136" s="17"/>
    </row>
    <row r="137" spans="1:18" ht="15.75" customHeight="1">
      <c r="D137" s="17"/>
    </row>
    <row r="138" spans="1:18" ht="15.75" customHeight="1">
      <c r="D138" s="17"/>
    </row>
    <row r="139" spans="1:18" ht="15.75" customHeight="1">
      <c r="D139" s="17"/>
    </row>
    <row r="140" spans="1:18" ht="15.75" customHeight="1">
      <c r="D140" s="17"/>
    </row>
    <row r="141" spans="1:18" ht="15.75" customHeight="1">
      <c r="D141" s="17"/>
    </row>
    <row r="142" spans="1:18" ht="15.75" customHeight="1">
      <c r="D142" s="17"/>
    </row>
    <row r="143" spans="1:18" ht="15.75" customHeight="1">
      <c r="D143" s="17"/>
    </row>
    <row r="144" spans="1:18" ht="15.75" customHeight="1">
      <c r="D144" s="17"/>
    </row>
    <row r="145" spans="4:4" ht="15.75" customHeight="1">
      <c r="D145" s="17"/>
    </row>
    <row r="146" spans="4:4" ht="15.75" customHeight="1">
      <c r="D146" s="17"/>
    </row>
    <row r="147" spans="4:4" ht="15.75" customHeight="1">
      <c r="D147" s="17"/>
    </row>
    <row r="148" spans="4:4" ht="15.75" customHeight="1">
      <c r="D148" s="17"/>
    </row>
    <row r="149" spans="4:4" ht="15.75" customHeight="1">
      <c r="D149" s="17"/>
    </row>
    <row r="150" spans="4:4" ht="15.75" customHeight="1">
      <c r="D150" s="17"/>
    </row>
    <row r="151" spans="4:4" ht="15.75" customHeight="1">
      <c r="D151" s="17"/>
    </row>
    <row r="152" spans="4:4" ht="15.75" customHeight="1">
      <c r="D152" s="17"/>
    </row>
    <row r="153" spans="4:4" ht="15.75" customHeight="1">
      <c r="D153" s="17"/>
    </row>
    <row r="154" spans="4:4" ht="15.75" customHeight="1">
      <c r="D154" s="17"/>
    </row>
    <row r="155" spans="4:4" ht="15.75" customHeight="1">
      <c r="D155" s="17"/>
    </row>
    <row r="156" spans="4:4" ht="15.75" customHeight="1">
      <c r="D156" s="17"/>
    </row>
    <row r="157" spans="4:4" ht="15.75" customHeight="1">
      <c r="D157" s="17"/>
    </row>
    <row r="158" spans="4:4" ht="15.75" customHeight="1">
      <c r="D158" s="17"/>
    </row>
    <row r="159" spans="4:4" ht="15.75" customHeight="1">
      <c r="D159" s="17"/>
    </row>
    <row r="160" spans="4:4" ht="15.75" customHeight="1">
      <c r="D160" s="17"/>
    </row>
    <row r="161" spans="4:4" ht="15.75" customHeight="1">
      <c r="D161" s="17"/>
    </row>
    <row r="162" spans="4:4" ht="15.75" customHeight="1">
      <c r="D162" s="17"/>
    </row>
    <row r="163" spans="4:4" ht="15.75" customHeight="1">
      <c r="D163" s="17"/>
    </row>
    <row r="164" spans="4:4" ht="15.75" customHeight="1">
      <c r="D164" s="17"/>
    </row>
    <row r="165" spans="4:4" ht="15.75" customHeight="1">
      <c r="D165" s="17"/>
    </row>
    <row r="166" spans="4:4" ht="15.75" customHeight="1">
      <c r="D166" s="17"/>
    </row>
    <row r="167" spans="4:4" ht="15.75" customHeight="1">
      <c r="D167" s="17"/>
    </row>
    <row r="168" spans="4:4" ht="15.75" customHeight="1">
      <c r="D168" s="17"/>
    </row>
    <row r="169" spans="4:4" ht="15.75" customHeight="1">
      <c r="D169" s="17"/>
    </row>
    <row r="170" spans="4:4" ht="15.75" customHeight="1">
      <c r="D170" s="17"/>
    </row>
    <row r="171" spans="4:4" ht="15.75" customHeight="1">
      <c r="D171" s="17"/>
    </row>
    <row r="172" spans="4:4" ht="15.75" customHeight="1">
      <c r="D172" s="17"/>
    </row>
    <row r="173" spans="4:4" ht="15.75" customHeight="1">
      <c r="D173" s="17"/>
    </row>
    <row r="174" spans="4:4" ht="15.75" customHeight="1">
      <c r="D174" s="17"/>
    </row>
    <row r="175" spans="4:4" ht="15.75" customHeight="1">
      <c r="D175" s="17"/>
    </row>
    <row r="176" spans="4:4" ht="15.75" customHeight="1">
      <c r="D176" s="17"/>
    </row>
    <row r="177" spans="4:4" ht="15.75" customHeight="1">
      <c r="D177" s="17"/>
    </row>
    <row r="178" spans="4:4" ht="15.75" customHeight="1">
      <c r="D178" s="17"/>
    </row>
    <row r="179" spans="4:4" ht="15.75" customHeight="1">
      <c r="D179" s="17"/>
    </row>
    <row r="180" spans="4:4" ht="15.75" customHeight="1">
      <c r="D180" s="17"/>
    </row>
    <row r="181" spans="4:4" ht="15.75" customHeight="1">
      <c r="D181" s="17"/>
    </row>
    <row r="182" spans="4:4" ht="15.75" customHeight="1">
      <c r="D182" s="17"/>
    </row>
    <row r="183" spans="4:4" ht="15.75" customHeight="1">
      <c r="D183" s="17"/>
    </row>
    <row r="184" spans="4:4" ht="15.75" customHeight="1">
      <c r="D184" s="17"/>
    </row>
    <row r="185" spans="4:4" ht="15.75" customHeight="1">
      <c r="D185" s="17"/>
    </row>
    <row r="186" spans="4:4" ht="15.75" customHeight="1">
      <c r="D186" s="17"/>
    </row>
    <row r="187" spans="4:4" ht="15.75" customHeight="1">
      <c r="D187" s="17"/>
    </row>
    <row r="188" spans="4:4" ht="15.75" customHeight="1">
      <c r="D188" s="17"/>
    </row>
    <row r="189" spans="4:4" ht="15.75" customHeight="1">
      <c r="D189" s="17"/>
    </row>
    <row r="190" spans="4:4" ht="15.75" customHeight="1">
      <c r="D190" s="17"/>
    </row>
    <row r="191" spans="4:4" ht="15.75" customHeight="1">
      <c r="D191" s="17"/>
    </row>
    <row r="192" spans="4:4" ht="15.75" customHeight="1">
      <c r="D192" s="17"/>
    </row>
    <row r="193" spans="4:4" ht="15.75" customHeight="1">
      <c r="D193" s="17"/>
    </row>
    <row r="194" spans="4:4" ht="15.75" customHeight="1">
      <c r="D194" s="17"/>
    </row>
    <row r="195" spans="4:4" ht="15.75" customHeight="1">
      <c r="D195" s="17"/>
    </row>
    <row r="196" spans="4:4" ht="15.75" customHeight="1">
      <c r="D196" s="17"/>
    </row>
    <row r="197" spans="4:4" ht="15.75" customHeight="1">
      <c r="D197" s="17"/>
    </row>
    <row r="198" spans="4:4" ht="15.75" customHeight="1">
      <c r="D198" s="17"/>
    </row>
    <row r="199" spans="4:4" ht="15.75" customHeight="1">
      <c r="D199" s="17"/>
    </row>
    <row r="200" spans="4:4" ht="15.75" customHeight="1">
      <c r="D200" s="17"/>
    </row>
    <row r="201" spans="4:4" ht="15.75" customHeight="1">
      <c r="D201" s="17"/>
    </row>
    <row r="202" spans="4:4" ht="15.75" customHeight="1">
      <c r="D202" s="17"/>
    </row>
    <row r="203" spans="4:4" ht="15.75" customHeight="1">
      <c r="D203" s="17"/>
    </row>
    <row r="204" spans="4:4" ht="15.75" customHeight="1">
      <c r="D204" s="17"/>
    </row>
    <row r="205" spans="4:4" ht="15.75" customHeight="1">
      <c r="D205" s="17"/>
    </row>
    <row r="206" spans="4:4" ht="15.75" customHeight="1">
      <c r="D206" s="17"/>
    </row>
    <row r="207" spans="4:4" ht="15.75" customHeight="1">
      <c r="D207" s="17"/>
    </row>
    <row r="208" spans="4:4" ht="15.75" customHeight="1">
      <c r="D208" s="17"/>
    </row>
    <row r="209" spans="4:4" ht="15.75" customHeight="1">
      <c r="D209" s="17"/>
    </row>
    <row r="210" spans="4:4" ht="15.75" customHeight="1">
      <c r="D210" s="17"/>
    </row>
    <row r="211" spans="4:4" ht="15.75" customHeight="1">
      <c r="D211" s="17"/>
    </row>
    <row r="212" spans="4:4" ht="15.75" customHeight="1">
      <c r="D212" s="17"/>
    </row>
    <row r="213" spans="4:4" ht="15.75" customHeight="1">
      <c r="D213" s="17"/>
    </row>
    <row r="214" spans="4:4" ht="15.75" customHeight="1">
      <c r="D214" s="17"/>
    </row>
    <row r="215" spans="4:4" ht="15.75" customHeight="1">
      <c r="D215" s="17"/>
    </row>
    <row r="216" spans="4:4" ht="15.75" customHeight="1">
      <c r="D216" s="17"/>
    </row>
    <row r="217" spans="4:4" ht="15.75" customHeight="1">
      <c r="D217" s="17"/>
    </row>
    <row r="218" spans="4:4" ht="15.75" customHeight="1">
      <c r="D218" s="17"/>
    </row>
    <row r="219" spans="4:4" ht="15.75" customHeight="1">
      <c r="D219" s="17"/>
    </row>
    <row r="220" spans="4:4" ht="15.75" customHeight="1">
      <c r="D220" s="17"/>
    </row>
    <row r="221" spans="4:4" ht="15.75" customHeight="1">
      <c r="D221" s="17"/>
    </row>
    <row r="222" spans="4:4" ht="15.75" customHeight="1">
      <c r="D222" s="17"/>
    </row>
    <row r="223" spans="4:4" ht="15.75" customHeight="1">
      <c r="D223" s="17"/>
    </row>
    <row r="224" spans="4:4" ht="15.75" customHeight="1">
      <c r="D224" s="17"/>
    </row>
    <row r="225" spans="4:4" ht="15.75" customHeight="1">
      <c r="D225" s="17"/>
    </row>
    <row r="226" spans="4:4" ht="15.75" customHeight="1">
      <c r="D226" s="17"/>
    </row>
    <row r="227" spans="4:4" ht="15.75" customHeight="1">
      <c r="D227" s="17"/>
    </row>
    <row r="228" spans="4:4" ht="15.75" customHeight="1">
      <c r="D228" s="17"/>
    </row>
    <row r="229" spans="4:4" ht="15.75" customHeight="1">
      <c r="D229" s="17"/>
    </row>
    <row r="230" spans="4:4" ht="15.75" customHeight="1">
      <c r="D230" s="17"/>
    </row>
    <row r="231" spans="4:4" ht="15.75" customHeight="1">
      <c r="D231" s="17"/>
    </row>
    <row r="232" spans="4:4" ht="15.75" customHeight="1">
      <c r="D232" s="17"/>
    </row>
    <row r="233" spans="4:4" ht="15.75" customHeight="1">
      <c r="D233" s="17"/>
    </row>
    <row r="234" spans="4:4" ht="15.75" customHeight="1">
      <c r="D234" s="17"/>
    </row>
    <row r="235" spans="4:4" ht="15.75" customHeight="1">
      <c r="D235" s="17"/>
    </row>
    <row r="236" spans="4:4" ht="15.75" customHeight="1">
      <c r="D236" s="17"/>
    </row>
    <row r="237" spans="4:4" ht="15.75" customHeight="1">
      <c r="D237" s="17"/>
    </row>
    <row r="238" spans="4:4" ht="15.75" customHeight="1">
      <c r="D238" s="17"/>
    </row>
    <row r="239" spans="4:4" ht="15.75" customHeight="1">
      <c r="D239" s="17"/>
    </row>
    <row r="240" spans="4:4" ht="15.75" customHeight="1">
      <c r="D240" s="17"/>
    </row>
    <row r="241" spans="4:4" ht="15.75" customHeight="1">
      <c r="D241" s="17"/>
    </row>
    <row r="242" spans="4:4" ht="15.75" customHeight="1">
      <c r="D242" s="17"/>
    </row>
    <row r="243" spans="4:4" ht="15.75" customHeight="1">
      <c r="D243" s="17"/>
    </row>
    <row r="244" spans="4:4" ht="15.75" customHeight="1">
      <c r="D244" s="17"/>
    </row>
    <row r="245" spans="4:4" ht="15.75" customHeight="1">
      <c r="D245" s="17"/>
    </row>
    <row r="246" spans="4:4" ht="15.75" customHeight="1">
      <c r="D246" s="17"/>
    </row>
    <row r="247" spans="4:4" ht="15.75" customHeight="1">
      <c r="D247" s="17"/>
    </row>
    <row r="248" spans="4:4" ht="15.75" customHeight="1">
      <c r="D248" s="17"/>
    </row>
    <row r="249" spans="4:4" ht="15.75" customHeight="1">
      <c r="D249" s="17"/>
    </row>
    <row r="250" spans="4:4" ht="15.75" customHeight="1">
      <c r="D250" s="17"/>
    </row>
    <row r="251" spans="4:4" ht="15.75" customHeight="1">
      <c r="D251" s="17"/>
    </row>
    <row r="252" spans="4:4" ht="15.75" customHeight="1">
      <c r="D252" s="17"/>
    </row>
    <row r="253" spans="4:4" ht="15.75" customHeight="1">
      <c r="D253" s="17"/>
    </row>
    <row r="254" spans="4:4" ht="15.75" customHeight="1">
      <c r="D254" s="17"/>
    </row>
    <row r="255" spans="4:4" ht="15.75" customHeight="1">
      <c r="D255" s="17"/>
    </row>
    <row r="256" spans="4:4" ht="15.75" customHeight="1">
      <c r="D256" s="17"/>
    </row>
    <row r="257" spans="4:4" ht="15.75" customHeight="1">
      <c r="D257" s="17"/>
    </row>
    <row r="258" spans="4:4" ht="15.75" customHeight="1">
      <c r="D258" s="17"/>
    </row>
    <row r="259" spans="4:4" ht="15.75" customHeight="1">
      <c r="D259" s="17"/>
    </row>
    <row r="260" spans="4:4" ht="15.75" customHeight="1">
      <c r="D260" s="17"/>
    </row>
    <row r="261" spans="4:4" ht="15.75" customHeight="1">
      <c r="D261" s="17"/>
    </row>
    <row r="262" spans="4:4" ht="15.75" customHeight="1">
      <c r="D262" s="17"/>
    </row>
    <row r="263" spans="4:4" ht="15.75" customHeight="1">
      <c r="D263" s="17"/>
    </row>
    <row r="264" spans="4:4" ht="15.75" customHeight="1">
      <c r="D264" s="17"/>
    </row>
    <row r="265" spans="4:4" ht="15.75" customHeight="1">
      <c r="D265" s="17"/>
    </row>
    <row r="266" spans="4:4" ht="15.75" customHeight="1">
      <c r="D266" s="17"/>
    </row>
    <row r="267" spans="4:4" ht="15.75" customHeight="1">
      <c r="D267" s="17"/>
    </row>
    <row r="268" spans="4:4" ht="15.75" customHeight="1">
      <c r="D268" s="17"/>
    </row>
    <row r="269" spans="4:4" ht="15.75" customHeight="1">
      <c r="D269" s="17"/>
    </row>
    <row r="270" spans="4:4" ht="15.75" customHeight="1">
      <c r="D270" s="17"/>
    </row>
    <row r="271" spans="4:4" ht="15.75" customHeight="1">
      <c r="D271" s="17"/>
    </row>
    <row r="272" spans="4:4" ht="15.75" customHeight="1">
      <c r="D272" s="17"/>
    </row>
    <row r="273" spans="4:4" ht="15.75" customHeight="1">
      <c r="D273" s="17"/>
    </row>
    <row r="274" spans="4:4" ht="15.75" customHeight="1">
      <c r="D274" s="17"/>
    </row>
    <row r="275" spans="4:4" ht="15.75" customHeight="1">
      <c r="D275" s="17"/>
    </row>
    <row r="276" spans="4:4" ht="15.75" customHeight="1">
      <c r="D276" s="17"/>
    </row>
    <row r="277" spans="4:4" ht="15.75" customHeight="1">
      <c r="D277" s="17"/>
    </row>
    <row r="278" spans="4:4" ht="15.75" customHeight="1">
      <c r="D278" s="17"/>
    </row>
    <row r="279" spans="4:4" ht="15.75" customHeight="1">
      <c r="D279" s="17"/>
    </row>
    <row r="280" spans="4:4" ht="15.75" customHeight="1">
      <c r="D280" s="17"/>
    </row>
    <row r="281" spans="4:4" ht="15.75" customHeight="1">
      <c r="D281" s="17"/>
    </row>
    <row r="282" spans="4:4" ht="15.75" customHeight="1">
      <c r="D282" s="17"/>
    </row>
    <row r="283" spans="4:4" ht="15.75" customHeight="1">
      <c r="D283" s="17"/>
    </row>
    <row r="284" spans="4:4" ht="15.75" customHeight="1">
      <c r="D284" s="17"/>
    </row>
    <row r="285" spans="4:4" ht="15.75" customHeight="1">
      <c r="D285" s="17"/>
    </row>
    <row r="286" spans="4:4" ht="15.75" customHeight="1">
      <c r="D286" s="17"/>
    </row>
    <row r="287" spans="4:4" ht="15.75" customHeight="1">
      <c r="D287" s="17"/>
    </row>
    <row r="288" spans="4:4" ht="15.75" customHeight="1">
      <c r="D288" s="17"/>
    </row>
    <row r="289" spans="4:4" ht="15.75" customHeight="1">
      <c r="D289" s="17"/>
    </row>
    <row r="290" spans="4:4" ht="15.75" customHeight="1">
      <c r="D290" s="17"/>
    </row>
    <row r="291" spans="4:4" ht="15.75" customHeight="1">
      <c r="D291" s="17"/>
    </row>
    <row r="292" spans="4:4" ht="15.75" customHeight="1">
      <c r="D292" s="17"/>
    </row>
    <row r="293" spans="4:4" ht="15.75" customHeight="1">
      <c r="D293" s="17"/>
    </row>
    <row r="294" spans="4:4" ht="15.75" customHeight="1">
      <c r="D294" s="17"/>
    </row>
    <row r="295" spans="4:4" ht="15.75" customHeight="1">
      <c r="D295" s="17"/>
    </row>
    <row r="296" spans="4:4" ht="15.75" customHeight="1">
      <c r="D296" s="17"/>
    </row>
    <row r="297" spans="4:4" ht="15.75" customHeight="1">
      <c r="D297" s="17"/>
    </row>
    <row r="298" spans="4:4" ht="15.75" customHeight="1">
      <c r="D298" s="17"/>
    </row>
    <row r="299" spans="4:4" ht="15.75" customHeight="1">
      <c r="D299" s="17"/>
    </row>
    <row r="300" spans="4:4" ht="15.75" customHeight="1">
      <c r="D300" s="17"/>
    </row>
    <row r="301" spans="4:4" ht="15.75" customHeight="1">
      <c r="D301" s="17"/>
    </row>
    <row r="302" spans="4:4" ht="15.75" customHeight="1">
      <c r="D302" s="17"/>
    </row>
    <row r="303" spans="4:4" ht="15.75" customHeight="1">
      <c r="D303" s="17"/>
    </row>
    <row r="304" spans="4:4" ht="15.75" customHeight="1">
      <c r="D304" s="17"/>
    </row>
    <row r="305" spans="4:4" ht="15.75" customHeight="1">
      <c r="D305" s="17"/>
    </row>
    <row r="306" spans="4:4" ht="15.75" customHeight="1">
      <c r="D306" s="17"/>
    </row>
    <row r="307" spans="4:4" ht="15.75" customHeight="1">
      <c r="D307" s="17"/>
    </row>
    <row r="308" spans="4:4" ht="15.75" customHeight="1">
      <c r="D308" s="17"/>
    </row>
    <row r="309" spans="4:4" ht="15.75" customHeight="1">
      <c r="D309" s="17"/>
    </row>
    <row r="310" spans="4:4" ht="15.75" customHeight="1">
      <c r="D310" s="17"/>
    </row>
    <row r="311" spans="4:4" ht="15.75" customHeight="1">
      <c r="D311" s="17"/>
    </row>
    <row r="312" spans="4:4" ht="15.75" customHeight="1">
      <c r="D312" s="17"/>
    </row>
    <row r="313" spans="4:4" ht="15.75" customHeight="1">
      <c r="D313" s="17"/>
    </row>
    <row r="314" spans="4:4" ht="15.75" customHeight="1">
      <c r="D314" s="17"/>
    </row>
    <row r="315" spans="4:4" ht="15.75" customHeight="1">
      <c r="D315" s="17"/>
    </row>
    <row r="316" spans="4:4" ht="15.75" customHeight="1">
      <c r="D316" s="17"/>
    </row>
    <row r="317" spans="4:4" ht="15.75" customHeight="1">
      <c r="D317" s="17"/>
    </row>
    <row r="318" spans="4:4" ht="15.75" customHeight="1">
      <c r="D318" s="17"/>
    </row>
    <row r="319" spans="4:4" ht="15.75" customHeight="1">
      <c r="D319" s="17"/>
    </row>
    <row r="320" spans="4:4" ht="15.75" customHeight="1">
      <c r="D320" s="17"/>
    </row>
    <row r="321" spans="4:4" ht="15.75" customHeight="1">
      <c r="D321" s="17"/>
    </row>
    <row r="322" spans="4:4" ht="15.75" customHeight="1">
      <c r="D322" s="17"/>
    </row>
    <row r="323" spans="4:4" ht="15.75" customHeight="1">
      <c r="D323" s="17"/>
    </row>
    <row r="324" spans="4:4" ht="15.75" customHeight="1">
      <c r="D324" s="17"/>
    </row>
    <row r="325" spans="4:4" ht="15.75" customHeight="1">
      <c r="D325" s="17"/>
    </row>
    <row r="326" spans="4:4" ht="15.75" customHeight="1">
      <c r="D326" s="17"/>
    </row>
    <row r="327" spans="4:4" ht="15.75" customHeight="1">
      <c r="D327" s="17"/>
    </row>
    <row r="328" spans="4:4" ht="15.75" customHeight="1">
      <c r="D328" s="17"/>
    </row>
    <row r="329" spans="4:4" ht="15.75" customHeight="1">
      <c r="D329" s="17"/>
    </row>
    <row r="330" spans="4:4" ht="15.75" customHeight="1">
      <c r="D330" s="17"/>
    </row>
    <row r="331" spans="4:4" ht="15.75" customHeight="1">
      <c r="D331" s="17"/>
    </row>
    <row r="332" spans="4:4" ht="15.75" customHeight="1">
      <c r="D332" s="17"/>
    </row>
    <row r="333" spans="4:4" ht="15.75" customHeight="1">
      <c r="D333" s="17"/>
    </row>
    <row r="334" spans="4:4" ht="15.75" customHeight="1">
      <c r="D334" s="17"/>
    </row>
    <row r="335" spans="4:4" ht="15.75" customHeight="1">
      <c r="D335" s="17"/>
    </row>
    <row r="336" spans="4:4" ht="15.75" customHeight="1">
      <c r="D336" s="17"/>
    </row>
    <row r="337" spans="4:4" ht="15.75" customHeight="1">
      <c r="D337" s="17"/>
    </row>
    <row r="338" spans="4:4" ht="15.75" customHeight="1">
      <c r="D338" s="17"/>
    </row>
    <row r="339" spans="4:4" ht="15.75" customHeight="1">
      <c r="D339" s="17"/>
    </row>
    <row r="340" spans="4:4" ht="15.75" customHeight="1">
      <c r="D340" s="17"/>
    </row>
    <row r="341" spans="4:4" ht="15.75" customHeight="1">
      <c r="D341" s="17"/>
    </row>
    <row r="342" spans="4:4" ht="15.75" customHeight="1">
      <c r="D342" s="17"/>
    </row>
    <row r="343" spans="4:4" ht="15.75" customHeight="1">
      <c r="D343" s="17"/>
    </row>
    <row r="344" spans="4:4" ht="15.75" customHeight="1">
      <c r="D344" s="17"/>
    </row>
    <row r="345" spans="4:4" ht="15.75" customHeight="1">
      <c r="D345" s="17"/>
    </row>
    <row r="346" spans="4:4" ht="15.75" customHeight="1">
      <c r="D346" s="17"/>
    </row>
    <row r="347" spans="4:4" ht="15.75" customHeight="1">
      <c r="D347" s="17"/>
    </row>
    <row r="348" spans="4:4" ht="15.75" customHeight="1">
      <c r="D348" s="17"/>
    </row>
    <row r="349" spans="4:4" ht="15.75" customHeight="1">
      <c r="D349" s="17"/>
    </row>
    <row r="350" spans="4:4" ht="15.75" customHeight="1">
      <c r="D350" s="17"/>
    </row>
    <row r="351" spans="4:4" ht="15.75" customHeight="1">
      <c r="D351" s="17"/>
    </row>
    <row r="352" spans="4:4" ht="15.75" customHeight="1">
      <c r="D352" s="17"/>
    </row>
    <row r="353" spans="4:4" ht="15.75" customHeight="1">
      <c r="D353" s="17"/>
    </row>
    <row r="354" spans="4:4" ht="15.75" customHeight="1">
      <c r="D354" s="17"/>
    </row>
    <row r="355" spans="4:4" ht="15.75" customHeight="1">
      <c r="D355" s="17"/>
    </row>
    <row r="356" spans="4:4" ht="15.75" customHeight="1">
      <c r="D356" s="17"/>
    </row>
    <row r="357" spans="4:4" ht="15.75" customHeight="1">
      <c r="D357" s="17"/>
    </row>
    <row r="358" spans="4:4" ht="15.75" customHeight="1">
      <c r="D358" s="17"/>
    </row>
    <row r="359" spans="4:4" ht="15.75" customHeight="1">
      <c r="D359" s="17"/>
    </row>
    <row r="360" spans="4:4" ht="15.75" customHeight="1">
      <c r="D360" s="17"/>
    </row>
    <row r="361" spans="4:4" ht="15.75" customHeight="1">
      <c r="D361" s="17"/>
    </row>
    <row r="362" spans="4:4" ht="15.75" customHeight="1">
      <c r="D362" s="17"/>
    </row>
    <row r="363" spans="4:4" ht="15.75" customHeight="1">
      <c r="D363" s="17"/>
    </row>
    <row r="364" spans="4:4" ht="15.75" customHeight="1">
      <c r="D364" s="17"/>
    </row>
    <row r="365" spans="4:4" ht="15.75" customHeight="1">
      <c r="D365" s="17"/>
    </row>
    <row r="366" spans="4:4" ht="15.75" customHeight="1">
      <c r="D366" s="17"/>
    </row>
    <row r="367" spans="4:4" ht="15.75" customHeight="1">
      <c r="D367" s="17"/>
    </row>
    <row r="368" spans="4:4" ht="15.75" customHeight="1">
      <c r="D368" s="17"/>
    </row>
    <row r="369" spans="4:4" ht="15.75" customHeight="1">
      <c r="D369" s="17"/>
    </row>
    <row r="370" spans="4:4" ht="15.75" customHeight="1">
      <c r="D370" s="17"/>
    </row>
    <row r="371" spans="4:4" ht="15.75" customHeight="1">
      <c r="D371" s="17"/>
    </row>
    <row r="372" spans="4:4" ht="15.75" customHeight="1">
      <c r="D372" s="17"/>
    </row>
    <row r="373" spans="4:4" ht="15.75" customHeight="1">
      <c r="D373" s="17"/>
    </row>
    <row r="374" spans="4:4" ht="15.75" customHeight="1">
      <c r="D374" s="17"/>
    </row>
    <row r="375" spans="4:4" ht="15.75" customHeight="1">
      <c r="D375" s="17"/>
    </row>
    <row r="376" spans="4:4" ht="15.75" customHeight="1">
      <c r="D376" s="17"/>
    </row>
    <row r="377" spans="4:4" ht="15.75" customHeight="1">
      <c r="D377" s="17"/>
    </row>
    <row r="378" spans="4:4" ht="15.75" customHeight="1">
      <c r="D378" s="17"/>
    </row>
    <row r="379" spans="4:4" ht="15.75" customHeight="1">
      <c r="D379" s="17"/>
    </row>
    <row r="380" spans="4:4" ht="15.75" customHeight="1">
      <c r="D380" s="17"/>
    </row>
    <row r="381" spans="4:4" ht="15.75" customHeight="1">
      <c r="D381" s="17"/>
    </row>
    <row r="382" spans="4:4" ht="15.75" customHeight="1">
      <c r="D382" s="17"/>
    </row>
    <row r="383" spans="4:4" ht="15.75" customHeight="1">
      <c r="D383" s="17"/>
    </row>
    <row r="384" spans="4:4" ht="15.75" customHeight="1">
      <c r="D384" s="17"/>
    </row>
    <row r="385" spans="4:4" ht="15.75" customHeight="1">
      <c r="D385" s="17"/>
    </row>
    <row r="386" spans="4:4" ht="15.75" customHeight="1">
      <c r="D386" s="17"/>
    </row>
    <row r="387" spans="4:4" ht="15.75" customHeight="1">
      <c r="D387" s="17"/>
    </row>
    <row r="388" spans="4:4" ht="15.75" customHeight="1">
      <c r="D388" s="17"/>
    </row>
    <row r="389" spans="4:4" ht="15.75" customHeight="1">
      <c r="D389" s="17"/>
    </row>
    <row r="390" spans="4:4" ht="15.75" customHeight="1">
      <c r="D390" s="17"/>
    </row>
    <row r="391" spans="4:4" ht="15.75" customHeight="1">
      <c r="D391" s="17"/>
    </row>
    <row r="392" spans="4:4" ht="15.75" customHeight="1">
      <c r="D392" s="17"/>
    </row>
    <row r="393" spans="4:4" ht="15.75" customHeight="1">
      <c r="D393" s="17"/>
    </row>
    <row r="394" spans="4:4" ht="15.75" customHeight="1">
      <c r="D394" s="17"/>
    </row>
    <row r="395" spans="4:4" ht="15.75" customHeight="1">
      <c r="D395" s="17"/>
    </row>
    <row r="396" spans="4:4" ht="15.75" customHeight="1">
      <c r="D396" s="17"/>
    </row>
    <row r="397" spans="4:4" ht="15.75" customHeight="1">
      <c r="D397" s="17"/>
    </row>
    <row r="398" spans="4:4" ht="15.75" customHeight="1">
      <c r="D398" s="17"/>
    </row>
    <row r="399" spans="4:4" ht="15.75" customHeight="1">
      <c r="D399" s="17"/>
    </row>
    <row r="400" spans="4:4" ht="15.75" customHeight="1">
      <c r="D400" s="17"/>
    </row>
    <row r="401" spans="4:4" ht="15.75" customHeight="1">
      <c r="D401" s="17"/>
    </row>
    <row r="402" spans="4:4" ht="15.75" customHeight="1">
      <c r="D402" s="17"/>
    </row>
    <row r="403" spans="4:4" ht="15.75" customHeight="1">
      <c r="D403" s="17"/>
    </row>
    <row r="404" spans="4:4" ht="15.75" customHeight="1">
      <c r="D404" s="17"/>
    </row>
    <row r="405" spans="4:4" ht="15.75" customHeight="1">
      <c r="D405" s="17"/>
    </row>
    <row r="406" spans="4:4" ht="15.75" customHeight="1">
      <c r="D406" s="17"/>
    </row>
    <row r="407" spans="4:4" ht="15.75" customHeight="1">
      <c r="D407" s="17"/>
    </row>
    <row r="408" spans="4:4" ht="15.75" customHeight="1">
      <c r="D408" s="17"/>
    </row>
    <row r="409" spans="4:4" ht="15.75" customHeight="1">
      <c r="D409" s="17"/>
    </row>
    <row r="410" spans="4:4" ht="15.75" customHeight="1">
      <c r="D410" s="17"/>
    </row>
    <row r="411" spans="4:4" ht="15.75" customHeight="1">
      <c r="D411" s="17"/>
    </row>
    <row r="412" spans="4:4" ht="15.75" customHeight="1">
      <c r="D412" s="17"/>
    </row>
    <row r="413" spans="4:4" ht="15.75" customHeight="1">
      <c r="D413" s="17"/>
    </row>
    <row r="414" spans="4:4" ht="15.75" customHeight="1">
      <c r="D414" s="17"/>
    </row>
    <row r="415" spans="4:4" ht="15.75" customHeight="1">
      <c r="D415" s="17"/>
    </row>
    <row r="416" spans="4:4" ht="15.75" customHeight="1">
      <c r="D416" s="17"/>
    </row>
    <row r="417" spans="4:4" ht="15.75" customHeight="1">
      <c r="D417" s="17"/>
    </row>
    <row r="418" spans="4:4" ht="15.75" customHeight="1">
      <c r="D418" s="17"/>
    </row>
    <row r="419" spans="4:4" ht="15.75" customHeight="1">
      <c r="D419" s="17"/>
    </row>
    <row r="420" spans="4:4" ht="15.75" customHeight="1">
      <c r="D420" s="17"/>
    </row>
    <row r="421" spans="4:4" ht="15.75" customHeight="1">
      <c r="D421" s="17"/>
    </row>
    <row r="422" spans="4:4" ht="15.75" customHeight="1">
      <c r="D422" s="17"/>
    </row>
    <row r="423" spans="4:4" ht="15.75" customHeight="1">
      <c r="D423" s="17"/>
    </row>
    <row r="424" spans="4:4" ht="15.75" customHeight="1">
      <c r="D424" s="17"/>
    </row>
    <row r="425" spans="4:4" ht="15.75" customHeight="1">
      <c r="D425" s="17"/>
    </row>
    <row r="426" spans="4:4" ht="15.75" customHeight="1">
      <c r="D426" s="17"/>
    </row>
    <row r="427" spans="4:4" ht="15.75" customHeight="1">
      <c r="D427" s="17"/>
    </row>
    <row r="428" spans="4:4" ht="15.75" customHeight="1">
      <c r="D428" s="17"/>
    </row>
    <row r="429" spans="4:4" ht="15.75" customHeight="1">
      <c r="D429" s="17"/>
    </row>
    <row r="430" spans="4:4" ht="15.75" customHeight="1">
      <c r="D430" s="17"/>
    </row>
    <row r="431" spans="4:4" ht="15.75" customHeight="1">
      <c r="D431" s="17"/>
    </row>
    <row r="432" spans="4:4" ht="15.75" customHeight="1">
      <c r="D432" s="17"/>
    </row>
    <row r="433" spans="4:4" ht="15.75" customHeight="1">
      <c r="D433" s="17"/>
    </row>
    <row r="434" spans="4:4" ht="15.75" customHeight="1">
      <c r="D434" s="17"/>
    </row>
    <row r="435" spans="4:4" ht="15.75" customHeight="1">
      <c r="D435" s="17"/>
    </row>
    <row r="436" spans="4:4" ht="15.75" customHeight="1">
      <c r="D436" s="17"/>
    </row>
    <row r="437" spans="4:4" ht="15.75" customHeight="1">
      <c r="D437" s="17"/>
    </row>
    <row r="438" spans="4:4" ht="15.75" customHeight="1">
      <c r="D438" s="17"/>
    </row>
    <row r="439" spans="4:4" ht="15.75" customHeight="1">
      <c r="D439" s="17"/>
    </row>
    <row r="440" spans="4:4" ht="15.75" customHeight="1">
      <c r="D440" s="17"/>
    </row>
    <row r="441" spans="4:4" ht="15.75" customHeight="1">
      <c r="D441" s="17"/>
    </row>
    <row r="442" spans="4:4" ht="15.75" customHeight="1">
      <c r="D442" s="17"/>
    </row>
    <row r="443" spans="4:4" ht="15.75" customHeight="1">
      <c r="D443" s="17"/>
    </row>
    <row r="444" spans="4:4" ht="15.75" customHeight="1">
      <c r="D444" s="17"/>
    </row>
    <row r="445" spans="4:4" ht="15.75" customHeight="1">
      <c r="D445" s="17"/>
    </row>
    <row r="446" spans="4:4" ht="15.75" customHeight="1">
      <c r="D446" s="17"/>
    </row>
    <row r="447" spans="4:4" ht="15.75" customHeight="1">
      <c r="D447" s="17"/>
    </row>
    <row r="448" spans="4:4" ht="15.75" customHeight="1">
      <c r="D448" s="17"/>
    </row>
    <row r="449" spans="4:4" ht="15.75" customHeight="1">
      <c r="D449" s="17"/>
    </row>
    <row r="450" spans="4:4" ht="15.75" customHeight="1">
      <c r="D450" s="17"/>
    </row>
    <row r="451" spans="4:4" ht="15.75" customHeight="1">
      <c r="D451" s="17"/>
    </row>
    <row r="452" spans="4:4" ht="15.75" customHeight="1">
      <c r="D452" s="17"/>
    </row>
    <row r="453" spans="4:4" ht="15.75" customHeight="1">
      <c r="D453" s="17"/>
    </row>
    <row r="454" spans="4:4" ht="15.75" customHeight="1">
      <c r="D454" s="17"/>
    </row>
    <row r="455" spans="4:4" ht="15.75" customHeight="1">
      <c r="D455" s="17"/>
    </row>
    <row r="456" spans="4:4" ht="15.75" customHeight="1">
      <c r="D456" s="17"/>
    </row>
    <row r="457" spans="4:4" ht="15.75" customHeight="1">
      <c r="D457" s="17"/>
    </row>
    <row r="458" spans="4:4" ht="15.75" customHeight="1">
      <c r="D458" s="17"/>
    </row>
    <row r="459" spans="4:4" ht="15.75" customHeight="1">
      <c r="D459" s="17"/>
    </row>
    <row r="460" spans="4:4" ht="15.75" customHeight="1">
      <c r="D460" s="17"/>
    </row>
    <row r="461" spans="4:4" ht="15.75" customHeight="1">
      <c r="D461" s="17"/>
    </row>
    <row r="462" spans="4:4" ht="15.75" customHeight="1">
      <c r="D462" s="17"/>
    </row>
    <row r="463" spans="4:4" ht="15.75" customHeight="1">
      <c r="D463" s="17"/>
    </row>
    <row r="464" spans="4:4" ht="15.75" customHeight="1">
      <c r="D464" s="17"/>
    </row>
    <row r="465" spans="4:4" ht="15.75" customHeight="1">
      <c r="D465" s="17"/>
    </row>
    <row r="466" spans="4:4" ht="15.75" customHeight="1">
      <c r="D466" s="17"/>
    </row>
    <row r="467" spans="4:4" ht="15.75" customHeight="1">
      <c r="D467" s="17"/>
    </row>
    <row r="468" spans="4:4" ht="15.75" customHeight="1">
      <c r="D468" s="17"/>
    </row>
    <row r="469" spans="4:4" ht="15.75" customHeight="1">
      <c r="D469" s="17"/>
    </row>
    <row r="470" spans="4:4" ht="15.75" customHeight="1">
      <c r="D470" s="17"/>
    </row>
    <row r="471" spans="4:4" ht="15.75" customHeight="1">
      <c r="D471" s="17"/>
    </row>
    <row r="472" spans="4:4" ht="15.75" customHeight="1">
      <c r="D472" s="17"/>
    </row>
    <row r="473" spans="4:4" ht="15.75" customHeight="1">
      <c r="D473" s="17"/>
    </row>
    <row r="474" spans="4:4" ht="15.75" customHeight="1">
      <c r="D474" s="17"/>
    </row>
    <row r="475" spans="4:4" ht="15.75" customHeight="1">
      <c r="D475" s="17"/>
    </row>
    <row r="476" spans="4:4" ht="15.75" customHeight="1">
      <c r="D476" s="17"/>
    </row>
    <row r="477" spans="4:4" ht="15.75" customHeight="1">
      <c r="D477" s="17"/>
    </row>
    <row r="478" spans="4:4" ht="15.75" customHeight="1">
      <c r="D478" s="17"/>
    </row>
    <row r="479" spans="4:4" ht="15.75" customHeight="1">
      <c r="D479" s="17"/>
    </row>
    <row r="480" spans="4:4" ht="15.75" customHeight="1">
      <c r="D480" s="17"/>
    </row>
    <row r="481" spans="4:4" ht="15.75" customHeight="1">
      <c r="D481" s="17"/>
    </row>
    <row r="482" spans="4:4" ht="15.75" customHeight="1">
      <c r="D482" s="17"/>
    </row>
    <row r="483" spans="4:4" ht="15.75" customHeight="1">
      <c r="D483" s="17"/>
    </row>
    <row r="484" spans="4:4" ht="15.75" customHeight="1">
      <c r="D484" s="17"/>
    </row>
    <row r="485" spans="4:4" ht="15.75" customHeight="1">
      <c r="D485" s="17"/>
    </row>
    <row r="486" spans="4:4" ht="15.75" customHeight="1">
      <c r="D486" s="17"/>
    </row>
    <row r="487" spans="4:4" ht="15.75" customHeight="1">
      <c r="D487" s="17"/>
    </row>
    <row r="488" spans="4:4" ht="15.75" customHeight="1">
      <c r="D488" s="17"/>
    </row>
    <row r="489" spans="4:4" ht="15.75" customHeight="1">
      <c r="D489" s="17"/>
    </row>
    <row r="490" spans="4:4" ht="15.75" customHeight="1">
      <c r="D490" s="17"/>
    </row>
    <row r="491" spans="4:4" ht="15.75" customHeight="1">
      <c r="D491" s="17"/>
    </row>
    <row r="492" spans="4:4" ht="15.75" customHeight="1">
      <c r="D492" s="17"/>
    </row>
    <row r="493" spans="4:4" ht="15.75" customHeight="1">
      <c r="D493" s="17"/>
    </row>
    <row r="494" spans="4:4" ht="15.75" customHeight="1">
      <c r="D494" s="17"/>
    </row>
    <row r="495" spans="4:4" ht="15.75" customHeight="1">
      <c r="D495" s="17"/>
    </row>
    <row r="496" spans="4:4" ht="15.75" customHeight="1">
      <c r="D496" s="17"/>
    </row>
    <row r="497" spans="4:4" ht="15.75" customHeight="1">
      <c r="D497" s="17"/>
    </row>
    <row r="498" spans="4:4" ht="15.75" customHeight="1">
      <c r="D498" s="17"/>
    </row>
    <row r="499" spans="4:4" ht="15.75" customHeight="1">
      <c r="D499" s="17"/>
    </row>
    <row r="500" spans="4:4" ht="15.75" customHeight="1">
      <c r="D500" s="17"/>
    </row>
    <row r="501" spans="4:4" ht="15.75" customHeight="1">
      <c r="D501" s="17"/>
    </row>
    <row r="502" spans="4:4" ht="15.75" customHeight="1">
      <c r="D502" s="17"/>
    </row>
    <row r="503" spans="4:4" ht="15.75" customHeight="1">
      <c r="D503" s="17"/>
    </row>
    <row r="504" spans="4:4" ht="15.75" customHeight="1">
      <c r="D504" s="17"/>
    </row>
    <row r="505" spans="4:4" ht="15.75" customHeight="1">
      <c r="D505" s="17"/>
    </row>
    <row r="506" spans="4:4" ht="15.75" customHeight="1">
      <c r="D506" s="17"/>
    </row>
    <row r="507" spans="4:4" ht="15.75" customHeight="1">
      <c r="D507" s="17"/>
    </row>
    <row r="508" spans="4:4" ht="15.75" customHeight="1">
      <c r="D508" s="17"/>
    </row>
    <row r="509" spans="4:4" ht="15.75" customHeight="1">
      <c r="D509" s="17"/>
    </row>
    <row r="510" spans="4:4" ht="15.75" customHeight="1">
      <c r="D510" s="17"/>
    </row>
    <row r="511" spans="4:4" ht="15.75" customHeight="1">
      <c r="D511" s="17"/>
    </row>
    <row r="512" spans="4:4" ht="15.75" customHeight="1">
      <c r="D512" s="17"/>
    </row>
    <row r="513" spans="4:4" ht="15.75" customHeight="1">
      <c r="D513" s="17"/>
    </row>
    <row r="514" spans="4:4" ht="15.75" customHeight="1">
      <c r="D514" s="17"/>
    </row>
    <row r="515" spans="4:4" ht="15.75" customHeight="1">
      <c r="D515" s="17"/>
    </row>
    <row r="516" spans="4:4" ht="15.75" customHeight="1">
      <c r="D516" s="17"/>
    </row>
    <row r="517" spans="4:4" ht="15.75" customHeight="1">
      <c r="D517" s="17"/>
    </row>
    <row r="518" spans="4:4" ht="15.75" customHeight="1">
      <c r="D518" s="17"/>
    </row>
    <row r="519" spans="4:4" ht="15.75" customHeight="1">
      <c r="D519" s="17"/>
    </row>
    <row r="520" spans="4:4" ht="15.75" customHeight="1">
      <c r="D520" s="17"/>
    </row>
    <row r="521" spans="4:4" ht="15.75" customHeight="1">
      <c r="D521" s="17"/>
    </row>
    <row r="522" spans="4:4" ht="15.75" customHeight="1">
      <c r="D522" s="17"/>
    </row>
    <row r="523" spans="4:4" ht="15.75" customHeight="1">
      <c r="D523" s="17"/>
    </row>
    <row r="524" spans="4:4" ht="15.75" customHeight="1">
      <c r="D524" s="17"/>
    </row>
    <row r="525" spans="4:4" ht="15.75" customHeight="1">
      <c r="D525" s="17"/>
    </row>
    <row r="526" spans="4:4" ht="15.75" customHeight="1">
      <c r="D526" s="17"/>
    </row>
    <row r="527" spans="4:4" ht="15.75" customHeight="1">
      <c r="D527" s="17"/>
    </row>
    <row r="528" spans="4:4" ht="15.75" customHeight="1">
      <c r="D528" s="17"/>
    </row>
    <row r="529" spans="4:4" ht="15.75" customHeight="1">
      <c r="D529" s="17"/>
    </row>
    <row r="530" spans="4:4" ht="15.75" customHeight="1">
      <c r="D530" s="17"/>
    </row>
    <row r="531" spans="4:4" ht="15.75" customHeight="1">
      <c r="D531" s="17"/>
    </row>
    <row r="532" spans="4:4" ht="15.75" customHeight="1">
      <c r="D532" s="17"/>
    </row>
    <row r="533" spans="4:4" ht="15.75" customHeight="1">
      <c r="D533" s="17"/>
    </row>
    <row r="534" spans="4:4" ht="15.75" customHeight="1">
      <c r="D534" s="17"/>
    </row>
    <row r="535" spans="4:4" ht="15.75" customHeight="1">
      <c r="D535" s="17"/>
    </row>
    <row r="536" spans="4:4" ht="15.75" customHeight="1">
      <c r="D536" s="17"/>
    </row>
    <row r="537" spans="4:4" ht="15.75" customHeight="1">
      <c r="D537" s="17"/>
    </row>
    <row r="538" spans="4:4" ht="15.75" customHeight="1">
      <c r="D538" s="17"/>
    </row>
    <row r="539" spans="4:4" ht="15.75" customHeight="1">
      <c r="D539" s="17"/>
    </row>
    <row r="540" spans="4:4" ht="15.75" customHeight="1">
      <c r="D540" s="17"/>
    </row>
    <row r="541" spans="4:4" ht="15.75" customHeight="1">
      <c r="D541" s="17"/>
    </row>
    <row r="542" spans="4:4" ht="15.75" customHeight="1">
      <c r="D542" s="17"/>
    </row>
    <row r="543" spans="4:4" ht="15.75" customHeight="1">
      <c r="D543" s="17"/>
    </row>
    <row r="544" spans="4:4" ht="15.75" customHeight="1">
      <c r="D544" s="17"/>
    </row>
    <row r="545" spans="4:4" ht="15.75" customHeight="1">
      <c r="D545" s="17"/>
    </row>
    <row r="546" spans="4:4" ht="15.75" customHeight="1">
      <c r="D546" s="17"/>
    </row>
    <row r="547" spans="4:4" ht="15.75" customHeight="1">
      <c r="D547" s="17"/>
    </row>
    <row r="548" spans="4:4" ht="15.75" customHeight="1">
      <c r="D548" s="17"/>
    </row>
    <row r="549" spans="4:4" ht="15.75" customHeight="1">
      <c r="D549" s="17"/>
    </row>
    <row r="550" spans="4:4" ht="15.75" customHeight="1">
      <c r="D550" s="17"/>
    </row>
    <row r="551" spans="4:4" ht="15.75" customHeight="1">
      <c r="D551" s="17"/>
    </row>
    <row r="552" spans="4:4" ht="15.75" customHeight="1">
      <c r="D552" s="17"/>
    </row>
    <row r="553" spans="4:4" ht="15.75" customHeight="1">
      <c r="D553" s="17"/>
    </row>
    <row r="554" spans="4:4" ht="15.75" customHeight="1">
      <c r="D554" s="17"/>
    </row>
    <row r="555" spans="4:4" ht="15.75" customHeight="1">
      <c r="D555" s="17"/>
    </row>
    <row r="556" spans="4:4" ht="15.75" customHeight="1">
      <c r="D556" s="17"/>
    </row>
    <row r="557" spans="4:4" ht="15.75" customHeight="1">
      <c r="D557" s="17"/>
    </row>
    <row r="558" spans="4:4" ht="15.75" customHeight="1">
      <c r="D558" s="17"/>
    </row>
    <row r="559" spans="4:4" ht="15.75" customHeight="1">
      <c r="D559" s="17"/>
    </row>
    <row r="560" spans="4:4" ht="15.75" customHeight="1">
      <c r="D560" s="17"/>
    </row>
    <row r="561" spans="4:4" ht="15.75" customHeight="1">
      <c r="D561" s="17"/>
    </row>
    <row r="562" spans="4:4" ht="15.75" customHeight="1">
      <c r="D562" s="17"/>
    </row>
    <row r="563" spans="4:4" ht="15.75" customHeight="1">
      <c r="D563" s="17"/>
    </row>
    <row r="564" spans="4:4" ht="15.75" customHeight="1">
      <c r="D564" s="17"/>
    </row>
    <row r="565" spans="4:4" ht="15.75" customHeight="1">
      <c r="D565" s="17"/>
    </row>
    <row r="566" spans="4:4" ht="15.75" customHeight="1">
      <c r="D566" s="17"/>
    </row>
    <row r="567" spans="4:4" ht="15.75" customHeight="1">
      <c r="D567" s="17"/>
    </row>
    <row r="568" spans="4:4" ht="15.75" customHeight="1">
      <c r="D568" s="17"/>
    </row>
    <row r="569" spans="4:4" ht="15.75" customHeight="1">
      <c r="D569" s="17"/>
    </row>
    <row r="570" spans="4:4" ht="15.75" customHeight="1">
      <c r="D570" s="17"/>
    </row>
    <row r="571" spans="4:4" ht="15.75" customHeight="1">
      <c r="D571" s="17"/>
    </row>
    <row r="572" spans="4:4" ht="15.75" customHeight="1">
      <c r="D572" s="17"/>
    </row>
    <row r="573" spans="4:4" ht="15.75" customHeight="1">
      <c r="D573" s="17"/>
    </row>
    <row r="574" spans="4:4" ht="15.75" customHeight="1">
      <c r="D574" s="17"/>
    </row>
    <row r="575" spans="4:4" ht="15.75" customHeight="1">
      <c r="D575" s="17"/>
    </row>
    <row r="576" spans="4:4" ht="15.75" customHeight="1">
      <c r="D576" s="17"/>
    </row>
    <row r="577" spans="4:4" ht="15.75" customHeight="1">
      <c r="D577" s="17"/>
    </row>
    <row r="578" spans="4:4" ht="15.75" customHeight="1">
      <c r="D578" s="17"/>
    </row>
    <row r="579" spans="4:4" ht="15.75" customHeight="1">
      <c r="D579" s="17"/>
    </row>
    <row r="580" spans="4:4" ht="15.75" customHeight="1">
      <c r="D580" s="17"/>
    </row>
    <row r="581" spans="4:4" ht="15.75" customHeight="1">
      <c r="D581" s="17"/>
    </row>
    <row r="582" spans="4:4" ht="15.75" customHeight="1">
      <c r="D582" s="17"/>
    </row>
    <row r="583" spans="4:4" ht="15.75" customHeight="1">
      <c r="D583" s="17"/>
    </row>
    <row r="584" spans="4:4" ht="15.75" customHeight="1">
      <c r="D584" s="17"/>
    </row>
    <row r="585" spans="4:4" ht="15.75" customHeight="1">
      <c r="D585" s="17"/>
    </row>
    <row r="586" spans="4:4" ht="15.75" customHeight="1">
      <c r="D586" s="17"/>
    </row>
    <row r="587" spans="4:4" ht="15.75" customHeight="1">
      <c r="D587" s="17"/>
    </row>
    <row r="588" spans="4:4" ht="15.75" customHeight="1">
      <c r="D588" s="17"/>
    </row>
    <row r="589" spans="4:4" ht="15.75" customHeight="1">
      <c r="D589" s="17"/>
    </row>
    <row r="590" spans="4:4" ht="15.75" customHeight="1">
      <c r="D590" s="17"/>
    </row>
    <row r="591" spans="4:4" ht="15.75" customHeight="1">
      <c r="D591" s="17"/>
    </row>
    <row r="592" spans="4:4" ht="15.75" customHeight="1">
      <c r="D592" s="17"/>
    </row>
    <row r="593" spans="4:4" ht="15.75" customHeight="1">
      <c r="D593" s="17"/>
    </row>
    <row r="594" spans="4:4" ht="15.75" customHeight="1">
      <c r="D594" s="17"/>
    </row>
    <row r="595" spans="4:4" ht="15.75" customHeight="1">
      <c r="D595" s="17"/>
    </row>
    <row r="596" spans="4:4" ht="15.75" customHeight="1">
      <c r="D596" s="17"/>
    </row>
    <row r="597" spans="4:4" ht="15.75" customHeight="1">
      <c r="D597" s="17"/>
    </row>
    <row r="598" spans="4:4" ht="15.75" customHeight="1">
      <c r="D598" s="17"/>
    </row>
    <row r="599" spans="4:4" ht="15.75" customHeight="1">
      <c r="D599" s="17"/>
    </row>
    <row r="600" spans="4:4" ht="15.75" customHeight="1">
      <c r="D600" s="17"/>
    </row>
    <row r="601" spans="4:4" ht="15.75" customHeight="1">
      <c r="D601" s="17"/>
    </row>
    <row r="602" spans="4:4" ht="15.75" customHeight="1">
      <c r="D602" s="17"/>
    </row>
    <row r="603" spans="4:4" ht="15.75" customHeight="1">
      <c r="D603" s="17"/>
    </row>
    <row r="604" spans="4:4" ht="15.75" customHeight="1">
      <c r="D604" s="17"/>
    </row>
    <row r="605" spans="4:4" ht="15.75" customHeight="1">
      <c r="D605" s="17"/>
    </row>
    <row r="606" spans="4:4" ht="15.75" customHeight="1">
      <c r="D606" s="17"/>
    </row>
    <row r="607" spans="4:4" ht="15.75" customHeight="1">
      <c r="D607" s="17"/>
    </row>
    <row r="608" spans="4:4" ht="15.75" customHeight="1">
      <c r="D608" s="17"/>
    </row>
    <row r="609" spans="4:4" ht="15.75" customHeight="1">
      <c r="D609" s="17"/>
    </row>
    <row r="610" spans="4:4" ht="15.75" customHeight="1">
      <c r="D610" s="17"/>
    </row>
    <row r="611" spans="4:4" ht="15.75" customHeight="1">
      <c r="D611" s="17"/>
    </row>
    <row r="612" spans="4:4" ht="15.75" customHeight="1">
      <c r="D612" s="17"/>
    </row>
    <row r="613" spans="4:4" ht="15.75" customHeight="1">
      <c r="D613" s="17"/>
    </row>
    <row r="614" spans="4:4" ht="15.75" customHeight="1">
      <c r="D614" s="17"/>
    </row>
    <row r="615" spans="4:4" ht="15.75" customHeight="1">
      <c r="D615" s="17"/>
    </row>
    <row r="616" spans="4:4" ht="15.75" customHeight="1">
      <c r="D616" s="17"/>
    </row>
    <row r="617" spans="4:4" ht="15.75" customHeight="1">
      <c r="D617" s="17"/>
    </row>
    <row r="618" spans="4:4" ht="15.75" customHeight="1">
      <c r="D618" s="17"/>
    </row>
    <row r="619" spans="4:4" ht="15.75" customHeight="1">
      <c r="D619" s="17"/>
    </row>
    <row r="620" spans="4:4" ht="15.75" customHeight="1">
      <c r="D620" s="17"/>
    </row>
    <row r="621" spans="4:4" ht="15.75" customHeight="1">
      <c r="D621" s="17"/>
    </row>
    <row r="622" spans="4:4" ht="15.75" customHeight="1">
      <c r="D622" s="17"/>
    </row>
    <row r="623" spans="4:4" ht="15.75" customHeight="1">
      <c r="D623" s="17"/>
    </row>
    <row r="624" spans="4:4" ht="15.75" customHeight="1">
      <c r="D624" s="17"/>
    </row>
    <row r="625" spans="4:4" ht="15.75" customHeight="1">
      <c r="D625" s="17"/>
    </row>
    <row r="626" spans="4:4" ht="15.75" customHeight="1">
      <c r="D626" s="17"/>
    </row>
    <row r="627" spans="4:4" ht="15.75" customHeight="1">
      <c r="D627" s="17"/>
    </row>
    <row r="628" spans="4:4" ht="15.75" customHeight="1">
      <c r="D628" s="17"/>
    </row>
    <row r="629" spans="4:4" ht="15.75" customHeight="1">
      <c r="D629" s="17"/>
    </row>
    <row r="630" spans="4:4" ht="15.75" customHeight="1">
      <c r="D630" s="17"/>
    </row>
    <row r="631" spans="4:4" ht="15.75" customHeight="1">
      <c r="D631" s="17"/>
    </row>
    <row r="632" spans="4:4" ht="15.75" customHeight="1">
      <c r="D632" s="17"/>
    </row>
    <row r="633" spans="4:4" ht="15.75" customHeight="1">
      <c r="D633" s="17"/>
    </row>
    <row r="634" spans="4:4" ht="15.75" customHeight="1">
      <c r="D634" s="17"/>
    </row>
    <row r="635" spans="4:4" ht="15.75" customHeight="1">
      <c r="D635" s="17"/>
    </row>
    <row r="636" spans="4:4" ht="15.75" customHeight="1">
      <c r="D636" s="17"/>
    </row>
    <row r="637" spans="4:4" ht="15.75" customHeight="1">
      <c r="D637" s="17"/>
    </row>
    <row r="638" spans="4:4" ht="15.75" customHeight="1">
      <c r="D638" s="17"/>
    </row>
    <row r="639" spans="4:4" ht="15.75" customHeight="1">
      <c r="D639" s="17"/>
    </row>
    <row r="640" spans="4:4" ht="15.75" customHeight="1">
      <c r="D640" s="17"/>
    </row>
    <row r="641" spans="4:4" ht="15.75" customHeight="1">
      <c r="D641" s="17"/>
    </row>
    <row r="642" spans="4:4" ht="15.75" customHeight="1">
      <c r="D642" s="17"/>
    </row>
    <row r="643" spans="4:4" ht="15.75" customHeight="1">
      <c r="D643" s="17"/>
    </row>
    <row r="644" spans="4:4" ht="15.75" customHeight="1">
      <c r="D644" s="17"/>
    </row>
    <row r="645" spans="4:4" ht="15.75" customHeight="1">
      <c r="D645" s="17"/>
    </row>
    <row r="646" spans="4:4" ht="15.75" customHeight="1">
      <c r="D646" s="17"/>
    </row>
    <row r="647" spans="4:4" ht="15.75" customHeight="1">
      <c r="D647" s="17"/>
    </row>
    <row r="648" spans="4:4" ht="15.75" customHeight="1">
      <c r="D648" s="17"/>
    </row>
    <row r="649" spans="4:4" ht="15.75" customHeight="1">
      <c r="D649" s="17"/>
    </row>
    <row r="650" spans="4:4" ht="15.75" customHeight="1">
      <c r="D650" s="17"/>
    </row>
    <row r="651" spans="4:4" ht="15.75" customHeight="1">
      <c r="D651" s="17"/>
    </row>
    <row r="652" spans="4:4" ht="15.75" customHeight="1">
      <c r="D652" s="17"/>
    </row>
    <row r="653" spans="4:4" ht="15.75" customHeight="1">
      <c r="D653" s="17"/>
    </row>
    <row r="654" spans="4:4" ht="15.75" customHeight="1">
      <c r="D654" s="17"/>
    </row>
    <row r="655" spans="4:4" ht="15.75" customHeight="1">
      <c r="D655" s="17"/>
    </row>
    <row r="656" spans="4:4" ht="15.75" customHeight="1">
      <c r="D656" s="17"/>
    </row>
    <row r="657" spans="4:4" ht="15.75" customHeight="1">
      <c r="D657" s="17"/>
    </row>
    <row r="658" spans="4:4" ht="15.75" customHeight="1">
      <c r="D658" s="17"/>
    </row>
    <row r="659" spans="4:4" ht="15.75" customHeight="1">
      <c r="D659" s="17"/>
    </row>
    <row r="660" spans="4:4" ht="15.75" customHeight="1">
      <c r="D660" s="17"/>
    </row>
    <row r="661" spans="4:4" ht="15.75" customHeight="1">
      <c r="D661" s="17"/>
    </row>
    <row r="662" spans="4:4" ht="15.75" customHeight="1">
      <c r="D662" s="17"/>
    </row>
    <row r="663" spans="4:4" ht="15.75" customHeight="1">
      <c r="D663" s="17"/>
    </row>
    <row r="664" spans="4:4" ht="15.75" customHeight="1">
      <c r="D664" s="17"/>
    </row>
    <row r="665" spans="4:4" ht="15.75" customHeight="1">
      <c r="D665" s="17"/>
    </row>
    <row r="666" spans="4:4" ht="15.75" customHeight="1">
      <c r="D666" s="17"/>
    </row>
    <row r="667" spans="4:4" ht="15.75" customHeight="1">
      <c r="D667" s="17"/>
    </row>
    <row r="668" spans="4:4" ht="15.75" customHeight="1">
      <c r="D668" s="17"/>
    </row>
    <row r="669" spans="4:4" ht="15.75" customHeight="1">
      <c r="D669" s="17"/>
    </row>
    <row r="670" spans="4:4" ht="15.75" customHeight="1">
      <c r="D670" s="17"/>
    </row>
    <row r="671" spans="4:4" ht="15.75" customHeight="1">
      <c r="D671" s="17"/>
    </row>
    <row r="672" spans="4:4" ht="15.75" customHeight="1">
      <c r="D672" s="17"/>
    </row>
    <row r="673" spans="4:4" ht="15.75" customHeight="1">
      <c r="D673" s="17"/>
    </row>
    <row r="674" spans="4:4" ht="15.75" customHeight="1">
      <c r="D674" s="17"/>
    </row>
    <row r="675" spans="4:4" ht="15.75" customHeight="1">
      <c r="D675" s="17"/>
    </row>
    <row r="676" spans="4:4" ht="15.75" customHeight="1">
      <c r="D676" s="17"/>
    </row>
    <row r="677" spans="4:4" ht="15.75" customHeight="1">
      <c r="D677" s="17"/>
    </row>
    <row r="678" spans="4:4" ht="15.75" customHeight="1">
      <c r="D678" s="17"/>
    </row>
    <row r="679" spans="4:4" ht="15.75" customHeight="1">
      <c r="D679" s="17"/>
    </row>
    <row r="680" spans="4:4" ht="15.75" customHeight="1">
      <c r="D680" s="17"/>
    </row>
    <row r="681" spans="4:4" ht="15.75" customHeight="1">
      <c r="D681" s="17"/>
    </row>
    <row r="682" spans="4:4" ht="15.75" customHeight="1">
      <c r="D682" s="17"/>
    </row>
    <row r="683" spans="4:4" ht="15.75" customHeight="1">
      <c r="D683" s="17"/>
    </row>
    <row r="684" spans="4:4" ht="15.75" customHeight="1">
      <c r="D684" s="17"/>
    </row>
    <row r="685" spans="4:4" ht="15.75" customHeight="1">
      <c r="D685" s="17"/>
    </row>
    <row r="686" spans="4:4" ht="15.75" customHeight="1">
      <c r="D686" s="17"/>
    </row>
    <row r="687" spans="4:4" ht="15.75" customHeight="1">
      <c r="D687" s="17"/>
    </row>
    <row r="688" spans="4:4" ht="15.75" customHeight="1">
      <c r="D688" s="17"/>
    </row>
    <row r="689" spans="4:4" ht="15.75" customHeight="1">
      <c r="D689" s="17"/>
    </row>
    <row r="690" spans="4:4" ht="15.75" customHeight="1">
      <c r="D690" s="17"/>
    </row>
    <row r="691" spans="4:4" ht="15.75" customHeight="1">
      <c r="D691" s="17"/>
    </row>
    <row r="692" spans="4:4" ht="15.75" customHeight="1">
      <c r="D692" s="17"/>
    </row>
    <row r="693" spans="4:4" ht="15.75" customHeight="1">
      <c r="D693" s="17"/>
    </row>
    <row r="694" spans="4:4" ht="15.75" customHeight="1">
      <c r="D694" s="17"/>
    </row>
    <row r="695" spans="4:4" ht="15.75" customHeight="1">
      <c r="D695" s="17"/>
    </row>
    <row r="696" spans="4:4" ht="15.75" customHeight="1">
      <c r="D696" s="17"/>
    </row>
    <row r="697" spans="4:4" ht="15.75" customHeight="1">
      <c r="D697" s="17"/>
    </row>
    <row r="698" spans="4:4" ht="15.75" customHeight="1">
      <c r="D698" s="17"/>
    </row>
    <row r="699" spans="4:4" ht="15.75" customHeight="1">
      <c r="D699" s="17"/>
    </row>
    <row r="700" spans="4:4" ht="15.75" customHeight="1">
      <c r="D700" s="17"/>
    </row>
    <row r="701" spans="4:4" ht="15.75" customHeight="1">
      <c r="D701" s="17"/>
    </row>
    <row r="702" spans="4:4" ht="15.75" customHeight="1">
      <c r="D702" s="17"/>
    </row>
    <row r="703" spans="4:4" ht="15.75" customHeight="1">
      <c r="D703" s="17"/>
    </row>
    <row r="704" spans="4:4" ht="15.75" customHeight="1">
      <c r="D704" s="17"/>
    </row>
    <row r="705" spans="4:4" ht="15.75" customHeight="1">
      <c r="D705" s="17"/>
    </row>
    <row r="706" spans="4:4" ht="15.75" customHeight="1">
      <c r="D706" s="17"/>
    </row>
    <row r="707" spans="4:4" ht="15.75" customHeight="1">
      <c r="D707" s="17"/>
    </row>
    <row r="708" spans="4:4" ht="15.75" customHeight="1">
      <c r="D708" s="17"/>
    </row>
    <row r="709" spans="4:4" ht="15.75" customHeight="1">
      <c r="D709" s="17"/>
    </row>
    <row r="710" spans="4:4" ht="15.75" customHeight="1">
      <c r="D710" s="17"/>
    </row>
    <row r="711" spans="4:4" ht="15.75" customHeight="1">
      <c r="D711" s="17"/>
    </row>
    <row r="712" spans="4:4" ht="15.75" customHeight="1">
      <c r="D712" s="17"/>
    </row>
    <row r="713" spans="4:4" ht="15.75" customHeight="1">
      <c r="D713" s="17"/>
    </row>
    <row r="714" spans="4:4" ht="15.75" customHeight="1">
      <c r="D714" s="17"/>
    </row>
    <row r="715" spans="4:4" ht="15.75" customHeight="1">
      <c r="D715" s="17"/>
    </row>
    <row r="716" spans="4:4" ht="15.75" customHeight="1">
      <c r="D716" s="17"/>
    </row>
    <row r="717" spans="4:4" ht="15.75" customHeight="1">
      <c r="D717" s="17"/>
    </row>
    <row r="718" spans="4:4" ht="15.75" customHeight="1">
      <c r="D718" s="17"/>
    </row>
    <row r="719" spans="4:4" ht="15.75" customHeight="1">
      <c r="D719" s="17"/>
    </row>
    <row r="720" spans="4:4" ht="15.75" customHeight="1">
      <c r="D720" s="17"/>
    </row>
    <row r="721" spans="4:4" ht="15.75" customHeight="1">
      <c r="D721" s="17"/>
    </row>
    <row r="722" spans="4:4" ht="15.75" customHeight="1">
      <c r="D722" s="17"/>
    </row>
    <row r="723" spans="4:4" ht="15.75" customHeight="1">
      <c r="D723" s="17"/>
    </row>
    <row r="724" spans="4:4" ht="15.75" customHeight="1">
      <c r="D724" s="17"/>
    </row>
    <row r="725" spans="4:4" ht="15.75" customHeight="1">
      <c r="D725" s="17"/>
    </row>
    <row r="726" spans="4:4" ht="15.75" customHeight="1">
      <c r="D726" s="17"/>
    </row>
    <row r="727" spans="4:4" ht="15.75" customHeight="1">
      <c r="D727" s="17"/>
    </row>
    <row r="728" spans="4:4" ht="15.75" customHeight="1">
      <c r="D728" s="17"/>
    </row>
    <row r="729" spans="4:4" ht="15.75" customHeight="1">
      <c r="D729" s="17"/>
    </row>
    <row r="730" spans="4:4" ht="15.75" customHeight="1">
      <c r="D730" s="17"/>
    </row>
    <row r="731" spans="4:4" ht="15.75" customHeight="1">
      <c r="D731" s="17"/>
    </row>
    <row r="732" spans="4:4" ht="15.75" customHeight="1">
      <c r="D732" s="17"/>
    </row>
    <row r="733" spans="4:4" ht="15.75" customHeight="1">
      <c r="D733" s="17"/>
    </row>
    <row r="734" spans="4:4" ht="15.75" customHeight="1">
      <c r="D734" s="17"/>
    </row>
    <row r="735" spans="4:4" ht="15.75" customHeight="1">
      <c r="D735" s="17"/>
    </row>
    <row r="736" spans="4:4" ht="15.75" customHeight="1">
      <c r="D736" s="17"/>
    </row>
    <row r="737" spans="4:4" ht="15.75" customHeight="1">
      <c r="D737" s="17"/>
    </row>
    <row r="738" spans="4:4" ht="15.75" customHeight="1">
      <c r="D738" s="17"/>
    </row>
    <row r="739" spans="4:4" ht="15.75" customHeight="1">
      <c r="D739" s="17"/>
    </row>
    <row r="740" spans="4:4" ht="15.75" customHeight="1">
      <c r="D740" s="17"/>
    </row>
    <row r="741" spans="4:4" ht="15.75" customHeight="1">
      <c r="D741" s="17"/>
    </row>
    <row r="742" spans="4:4" ht="15.75" customHeight="1">
      <c r="D742" s="17"/>
    </row>
    <row r="743" spans="4:4" ht="15.75" customHeight="1">
      <c r="D743" s="17"/>
    </row>
    <row r="744" spans="4:4" ht="15.75" customHeight="1">
      <c r="D744" s="17"/>
    </row>
    <row r="745" spans="4:4" ht="15.75" customHeight="1">
      <c r="D745" s="17"/>
    </row>
    <row r="746" spans="4:4" ht="15.75" customHeight="1">
      <c r="D746" s="17"/>
    </row>
    <row r="747" spans="4:4" ht="15.75" customHeight="1">
      <c r="D747" s="17"/>
    </row>
    <row r="748" spans="4:4" ht="15.75" customHeight="1">
      <c r="D748" s="17"/>
    </row>
    <row r="749" spans="4:4" ht="15.75" customHeight="1">
      <c r="D749" s="17"/>
    </row>
    <row r="750" spans="4:4" ht="15.75" customHeight="1">
      <c r="D750" s="17"/>
    </row>
    <row r="751" spans="4:4" ht="15.75" customHeight="1">
      <c r="D751" s="17"/>
    </row>
    <row r="752" spans="4:4" ht="15.75" customHeight="1">
      <c r="D752" s="17"/>
    </row>
    <row r="753" spans="4:4" ht="15.75" customHeight="1">
      <c r="D753" s="17"/>
    </row>
    <row r="754" spans="4:4" ht="15.75" customHeight="1">
      <c r="D754" s="17"/>
    </row>
    <row r="755" spans="4:4" ht="15.75" customHeight="1">
      <c r="D755" s="17"/>
    </row>
    <row r="756" spans="4:4" ht="15.75" customHeight="1">
      <c r="D756" s="17"/>
    </row>
    <row r="757" spans="4:4" ht="15.75" customHeight="1">
      <c r="D757" s="17"/>
    </row>
    <row r="758" spans="4:4" ht="15.75" customHeight="1">
      <c r="D758" s="17"/>
    </row>
    <row r="759" spans="4:4" ht="15.75" customHeight="1">
      <c r="D759" s="17"/>
    </row>
    <row r="760" spans="4:4" ht="15.75" customHeight="1">
      <c r="D760" s="17"/>
    </row>
    <row r="761" spans="4:4" ht="15.75" customHeight="1">
      <c r="D761" s="17"/>
    </row>
    <row r="762" spans="4:4" ht="15.75" customHeight="1">
      <c r="D762" s="17"/>
    </row>
    <row r="763" spans="4:4" ht="15.75" customHeight="1">
      <c r="D763" s="17"/>
    </row>
    <row r="764" spans="4:4" ht="15.75" customHeight="1">
      <c r="D764" s="17"/>
    </row>
    <row r="765" spans="4:4" ht="15.75" customHeight="1">
      <c r="D765" s="17"/>
    </row>
    <row r="766" spans="4:4" ht="15.75" customHeight="1">
      <c r="D766" s="17"/>
    </row>
    <row r="767" spans="4:4" ht="15.75" customHeight="1">
      <c r="D767" s="17"/>
    </row>
    <row r="768" spans="4:4" ht="15.75" customHeight="1">
      <c r="D768" s="17"/>
    </row>
    <row r="769" spans="4:4" ht="15.75" customHeight="1">
      <c r="D769" s="17"/>
    </row>
    <row r="770" spans="4:4" ht="15.75" customHeight="1">
      <c r="D770" s="17"/>
    </row>
    <row r="771" spans="4:4" ht="15.75" customHeight="1">
      <c r="D771" s="17"/>
    </row>
    <row r="772" spans="4:4" ht="15.75" customHeight="1">
      <c r="D772" s="17"/>
    </row>
    <row r="773" spans="4:4" ht="15.75" customHeight="1">
      <c r="D773" s="17"/>
    </row>
    <row r="774" spans="4:4" ht="15.75" customHeight="1">
      <c r="D774" s="17"/>
    </row>
    <row r="775" spans="4:4" ht="15.75" customHeight="1">
      <c r="D775" s="17"/>
    </row>
    <row r="776" spans="4:4" ht="15.75" customHeight="1">
      <c r="D776" s="17"/>
    </row>
    <row r="777" spans="4:4" ht="15.75" customHeight="1">
      <c r="D777" s="17"/>
    </row>
    <row r="778" spans="4:4" ht="15.75" customHeight="1">
      <c r="D778" s="17"/>
    </row>
    <row r="779" spans="4:4" ht="15.75" customHeight="1">
      <c r="D779" s="17"/>
    </row>
    <row r="780" spans="4:4" ht="15.75" customHeight="1">
      <c r="D780" s="17"/>
    </row>
    <row r="781" spans="4:4" ht="15.75" customHeight="1">
      <c r="D781" s="17"/>
    </row>
    <row r="782" spans="4:4" ht="15.75" customHeight="1">
      <c r="D782" s="17"/>
    </row>
    <row r="783" spans="4:4" ht="15.75" customHeight="1">
      <c r="D783" s="17"/>
    </row>
    <row r="784" spans="4:4" ht="15.75" customHeight="1">
      <c r="D784" s="17"/>
    </row>
    <row r="785" spans="4:4" ht="15.75" customHeight="1">
      <c r="D785" s="17"/>
    </row>
    <row r="786" spans="4:4" ht="15.75" customHeight="1">
      <c r="D786" s="17"/>
    </row>
    <row r="787" spans="4:4" ht="15.75" customHeight="1">
      <c r="D787" s="17"/>
    </row>
    <row r="788" spans="4:4" ht="15.75" customHeight="1">
      <c r="D788" s="17"/>
    </row>
    <row r="789" spans="4:4" ht="15.75" customHeight="1">
      <c r="D789" s="17"/>
    </row>
    <row r="790" spans="4:4" ht="15.75" customHeight="1">
      <c r="D790" s="17"/>
    </row>
    <row r="791" spans="4:4" ht="15.75" customHeight="1">
      <c r="D791" s="17"/>
    </row>
    <row r="792" spans="4:4" ht="15.75" customHeight="1">
      <c r="D792" s="17"/>
    </row>
    <row r="793" spans="4:4" ht="15.75" customHeight="1">
      <c r="D793" s="17"/>
    </row>
    <row r="794" spans="4:4" ht="15.75" customHeight="1">
      <c r="D794" s="17"/>
    </row>
    <row r="795" spans="4:4" ht="15.75" customHeight="1">
      <c r="D795" s="17"/>
    </row>
    <row r="796" spans="4:4" ht="15.75" customHeight="1">
      <c r="D796" s="17"/>
    </row>
    <row r="797" spans="4:4" ht="15.75" customHeight="1">
      <c r="D797" s="17"/>
    </row>
    <row r="798" spans="4:4" ht="15.75" customHeight="1">
      <c r="D798" s="17"/>
    </row>
    <row r="799" spans="4:4" ht="15.75" customHeight="1">
      <c r="D799" s="17"/>
    </row>
    <row r="800" spans="4:4" ht="15.75" customHeight="1">
      <c r="D800" s="17"/>
    </row>
    <row r="801" spans="4:4" ht="15.75" customHeight="1">
      <c r="D801" s="17"/>
    </row>
    <row r="802" spans="4:4" ht="15.75" customHeight="1">
      <c r="D802" s="17"/>
    </row>
    <row r="803" spans="4:4" ht="15.75" customHeight="1">
      <c r="D803" s="17"/>
    </row>
    <row r="804" spans="4:4" ht="15.75" customHeight="1">
      <c r="D804" s="17"/>
    </row>
    <row r="805" spans="4:4" ht="15.75" customHeight="1">
      <c r="D805" s="17"/>
    </row>
    <row r="806" spans="4:4" ht="15.75" customHeight="1">
      <c r="D806" s="17"/>
    </row>
    <row r="807" spans="4:4" ht="15.75" customHeight="1">
      <c r="D807" s="17"/>
    </row>
    <row r="808" spans="4:4" ht="15.75" customHeight="1">
      <c r="D808" s="17"/>
    </row>
    <row r="809" spans="4:4" ht="15.75" customHeight="1">
      <c r="D809" s="17"/>
    </row>
    <row r="810" spans="4:4" ht="15.75" customHeight="1">
      <c r="D810" s="17"/>
    </row>
    <row r="811" spans="4:4" ht="15.75" customHeight="1">
      <c r="D811" s="17"/>
    </row>
    <row r="812" spans="4:4" ht="15.75" customHeight="1">
      <c r="D812" s="17"/>
    </row>
    <row r="813" spans="4:4" ht="15.75" customHeight="1">
      <c r="D813" s="17"/>
    </row>
    <row r="814" spans="4:4" ht="15.75" customHeight="1">
      <c r="D814" s="17"/>
    </row>
    <row r="815" spans="4:4" ht="15.75" customHeight="1">
      <c r="D815" s="17"/>
    </row>
    <row r="816" spans="4:4" ht="15.75" customHeight="1">
      <c r="D816" s="17"/>
    </row>
    <row r="817" spans="4:4" ht="15.75" customHeight="1">
      <c r="D817" s="17"/>
    </row>
    <row r="818" spans="4:4" ht="15.75" customHeight="1">
      <c r="D818" s="17"/>
    </row>
    <row r="819" spans="4:4" ht="15.75" customHeight="1">
      <c r="D819" s="17"/>
    </row>
    <row r="820" spans="4:4" ht="15.75" customHeight="1">
      <c r="D820" s="17"/>
    </row>
    <row r="821" spans="4:4" ht="15.75" customHeight="1">
      <c r="D821" s="17"/>
    </row>
    <row r="822" spans="4:4" ht="15.75" customHeight="1">
      <c r="D822" s="17"/>
    </row>
    <row r="823" spans="4:4" ht="15.75" customHeight="1">
      <c r="D823" s="17"/>
    </row>
    <row r="824" spans="4:4" ht="15.75" customHeight="1">
      <c r="D824" s="17"/>
    </row>
    <row r="825" spans="4:4" ht="15.75" customHeight="1">
      <c r="D825" s="17"/>
    </row>
    <row r="826" spans="4:4" ht="15.75" customHeight="1">
      <c r="D826" s="17"/>
    </row>
    <row r="827" spans="4:4" ht="15.75" customHeight="1">
      <c r="D827" s="17"/>
    </row>
    <row r="828" spans="4:4" ht="15.75" customHeight="1">
      <c r="D828" s="17"/>
    </row>
    <row r="829" spans="4:4" ht="15.75" customHeight="1">
      <c r="D829" s="17"/>
    </row>
    <row r="830" spans="4:4" ht="15.75" customHeight="1">
      <c r="D830" s="17"/>
    </row>
    <row r="831" spans="4:4" ht="15.75" customHeight="1">
      <c r="D831" s="17"/>
    </row>
    <row r="832" spans="4:4" ht="15.75" customHeight="1">
      <c r="D832" s="17"/>
    </row>
    <row r="833" spans="4:4" ht="15.75" customHeight="1">
      <c r="D833" s="17"/>
    </row>
    <row r="834" spans="4:4" ht="15.75" customHeight="1">
      <c r="D834" s="17"/>
    </row>
    <row r="835" spans="4:4" ht="15.75" customHeight="1">
      <c r="D835" s="17"/>
    </row>
    <row r="836" spans="4:4" ht="15.75" customHeight="1">
      <c r="D836" s="17"/>
    </row>
    <row r="837" spans="4:4" ht="15.75" customHeight="1">
      <c r="D837" s="17"/>
    </row>
    <row r="838" spans="4:4" ht="15.75" customHeight="1">
      <c r="D838" s="17"/>
    </row>
    <row r="839" spans="4:4" ht="15.75" customHeight="1">
      <c r="D839" s="17"/>
    </row>
    <row r="840" spans="4:4" ht="15.75" customHeight="1">
      <c r="D840" s="17"/>
    </row>
    <row r="841" spans="4:4" ht="15.75" customHeight="1">
      <c r="D841" s="17"/>
    </row>
    <row r="842" spans="4:4" ht="15.75" customHeight="1">
      <c r="D842" s="17"/>
    </row>
    <row r="843" spans="4:4" ht="15.75" customHeight="1">
      <c r="D843" s="17"/>
    </row>
    <row r="844" spans="4:4" ht="15.75" customHeight="1">
      <c r="D844" s="17"/>
    </row>
    <row r="845" spans="4:4" ht="15.75" customHeight="1">
      <c r="D845" s="17"/>
    </row>
    <row r="846" spans="4:4" ht="15.75" customHeight="1">
      <c r="D846" s="17"/>
    </row>
    <row r="847" spans="4:4" ht="15.75" customHeight="1">
      <c r="D847" s="17"/>
    </row>
    <row r="848" spans="4:4" ht="15.75" customHeight="1">
      <c r="D848" s="17"/>
    </row>
    <row r="849" spans="4:4" ht="15.75" customHeight="1">
      <c r="D849" s="17"/>
    </row>
    <row r="850" spans="4:4" ht="15.75" customHeight="1">
      <c r="D850" s="17"/>
    </row>
    <row r="851" spans="4:4" ht="15.75" customHeight="1">
      <c r="D851" s="17"/>
    </row>
    <row r="852" spans="4:4" ht="15.75" customHeight="1">
      <c r="D852" s="17"/>
    </row>
    <row r="853" spans="4:4" ht="15.75" customHeight="1">
      <c r="D853" s="17"/>
    </row>
    <row r="854" spans="4:4" ht="15.75" customHeight="1">
      <c r="D854" s="17"/>
    </row>
    <row r="855" spans="4:4" ht="15.75" customHeight="1">
      <c r="D855" s="17"/>
    </row>
    <row r="856" spans="4:4" ht="15.75" customHeight="1">
      <c r="D856" s="17"/>
    </row>
    <row r="857" spans="4:4" ht="15.75" customHeight="1">
      <c r="D857" s="17"/>
    </row>
    <row r="858" spans="4:4" ht="15.75" customHeight="1">
      <c r="D858" s="17"/>
    </row>
    <row r="859" spans="4:4" ht="15.75" customHeight="1">
      <c r="D859" s="17"/>
    </row>
    <row r="860" spans="4:4" ht="15.75" customHeight="1">
      <c r="D860" s="17"/>
    </row>
    <row r="861" spans="4:4" ht="15.75" customHeight="1">
      <c r="D861" s="17"/>
    </row>
    <row r="862" spans="4:4" ht="15.75" customHeight="1">
      <c r="D862" s="17"/>
    </row>
    <row r="863" spans="4:4" ht="15.75" customHeight="1">
      <c r="D863" s="17"/>
    </row>
    <row r="864" spans="4:4" ht="15.75" customHeight="1">
      <c r="D864" s="17"/>
    </row>
    <row r="865" spans="4:4" ht="15.75" customHeight="1">
      <c r="D865" s="17"/>
    </row>
    <row r="866" spans="4:4" ht="15.75" customHeight="1">
      <c r="D866" s="17"/>
    </row>
    <row r="867" spans="4:4" ht="15.75" customHeight="1">
      <c r="D867" s="17"/>
    </row>
    <row r="868" spans="4:4" ht="15.75" customHeight="1">
      <c r="D868" s="17"/>
    </row>
    <row r="869" spans="4:4" ht="15.75" customHeight="1">
      <c r="D869" s="17"/>
    </row>
    <row r="870" spans="4:4" ht="15.75" customHeight="1">
      <c r="D870" s="17"/>
    </row>
    <row r="871" spans="4:4" ht="15.75" customHeight="1">
      <c r="D871" s="17"/>
    </row>
    <row r="872" spans="4:4" ht="15.75" customHeight="1">
      <c r="D872" s="17"/>
    </row>
    <row r="873" spans="4:4" ht="15.75" customHeight="1">
      <c r="D873" s="17"/>
    </row>
    <row r="874" spans="4:4" ht="15.75" customHeight="1">
      <c r="D874" s="17"/>
    </row>
    <row r="875" spans="4:4" ht="15.75" customHeight="1">
      <c r="D875" s="17"/>
    </row>
    <row r="876" spans="4:4" ht="15.75" customHeight="1">
      <c r="D876" s="17"/>
    </row>
    <row r="877" spans="4:4" ht="15.75" customHeight="1">
      <c r="D877" s="17"/>
    </row>
    <row r="878" spans="4:4" ht="15.75" customHeight="1">
      <c r="D878" s="17"/>
    </row>
    <row r="879" spans="4:4" ht="15.75" customHeight="1">
      <c r="D879" s="17"/>
    </row>
    <row r="880" spans="4:4" ht="15.75" customHeight="1">
      <c r="D880" s="17"/>
    </row>
    <row r="881" spans="4:4" ht="15.75" customHeight="1">
      <c r="D881" s="17"/>
    </row>
    <row r="882" spans="4:4" ht="15.75" customHeight="1">
      <c r="D882" s="17"/>
    </row>
    <row r="883" spans="4:4" ht="15.75" customHeight="1">
      <c r="D883" s="17"/>
    </row>
    <row r="884" spans="4:4" ht="15.75" customHeight="1">
      <c r="D884" s="17"/>
    </row>
    <row r="885" spans="4:4" ht="15.75" customHeight="1">
      <c r="D885" s="17"/>
    </row>
    <row r="886" spans="4:4" ht="15.75" customHeight="1">
      <c r="D886" s="17"/>
    </row>
    <row r="887" spans="4:4" ht="15.75" customHeight="1">
      <c r="D887" s="17"/>
    </row>
    <row r="888" spans="4:4" ht="15.75" customHeight="1">
      <c r="D888" s="17"/>
    </row>
    <row r="889" spans="4:4" ht="15.75" customHeight="1">
      <c r="D889" s="17"/>
    </row>
    <row r="890" spans="4:4" ht="15.75" customHeight="1">
      <c r="D890" s="17"/>
    </row>
    <row r="891" spans="4:4" ht="15.75" customHeight="1">
      <c r="D891" s="17"/>
    </row>
    <row r="892" spans="4:4" ht="15.75" customHeight="1">
      <c r="D892" s="17"/>
    </row>
    <row r="893" spans="4:4" ht="15.75" customHeight="1">
      <c r="D893" s="17"/>
    </row>
    <row r="894" spans="4:4" ht="15.75" customHeight="1">
      <c r="D894" s="17"/>
    </row>
    <row r="895" spans="4:4" ht="15.75" customHeight="1">
      <c r="D895" s="17"/>
    </row>
    <row r="896" spans="4:4" ht="15.75" customHeight="1">
      <c r="D896" s="17"/>
    </row>
    <row r="897" spans="4:4" ht="15.75" customHeight="1">
      <c r="D897" s="17"/>
    </row>
    <row r="898" spans="4:4" ht="15.75" customHeight="1">
      <c r="D898" s="17"/>
    </row>
    <row r="899" spans="4:4" ht="15.75" customHeight="1">
      <c r="D899" s="17"/>
    </row>
    <row r="900" spans="4:4" ht="15.75" customHeight="1">
      <c r="D900" s="17"/>
    </row>
    <row r="901" spans="4:4" ht="15.75" customHeight="1">
      <c r="D901" s="17"/>
    </row>
    <row r="902" spans="4:4" ht="15.75" customHeight="1">
      <c r="D902" s="17"/>
    </row>
    <row r="903" spans="4:4" ht="15.75" customHeight="1">
      <c r="D903" s="17"/>
    </row>
    <row r="904" spans="4:4" ht="15.75" customHeight="1">
      <c r="D904" s="17"/>
    </row>
    <row r="905" spans="4:4" ht="15.75" customHeight="1">
      <c r="D905" s="17"/>
    </row>
    <row r="906" spans="4:4" ht="15.75" customHeight="1">
      <c r="D906" s="17"/>
    </row>
    <row r="907" spans="4:4" ht="15.75" customHeight="1">
      <c r="D907" s="17"/>
    </row>
    <row r="908" spans="4:4" ht="15.75" customHeight="1">
      <c r="D908" s="17"/>
    </row>
    <row r="909" spans="4:4" ht="15.75" customHeight="1">
      <c r="D909" s="17"/>
    </row>
    <row r="910" spans="4:4" ht="15.75" customHeight="1">
      <c r="D910" s="17"/>
    </row>
    <row r="911" spans="4:4" ht="15.75" customHeight="1">
      <c r="D911" s="17"/>
    </row>
    <row r="912" spans="4:4" ht="15.75" customHeight="1">
      <c r="D912" s="17"/>
    </row>
    <row r="913" spans="4:4" ht="15.75" customHeight="1">
      <c r="D913" s="17"/>
    </row>
    <row r="914" spans="4:4" ht="15.75" customHeight="1">
      <c r="D914" s="17"/>
    </row>
    <row r="915" spans="4:4" ht="15.75" customHeight="1">
      <c r="D915" s="17"/>
    </row>
    <row r="916" spans="4:4" ht="15.75" customHeight="1">
      <c r="D916" s="17"/>
    </row>
    <row r="917" spans="4:4" ht="15.75" customHeight="1">
      <c r="D917" s="17"/>
    </row>
    <row r="918" spans="4:4" ht="15.75" customHeight="1">
      <c r="D918" s="17"/>
    </row>
    <row r="919" spans="4:4" ht="15.75" customHeight="1">
      <c r="D919" s="17"/>
    </row>
    <row r="920" spans="4:4" ht="15.75" customHeight="1">
      <c r="D920" s="17"/>
    </row>
    <row r="921" spans="4:4" ht="15.75" customHeight="1">
      <c r="D921" s="17"/>
    </row>
    <row r="922" spans="4:4" ht="15.75" customHeight="1">
      <c r="D922" s="17"/>
    </row>
    <row r="923" spans="4:4" ht="15.75" customHeight="1">
      <c r="D923" s="17"/>
    </row>
    <row r="924" spans="4:4" ht="15.75" customHeight="1">
      <c r="D924" s="17"/>
    </row>
    <row r="925" spans="4:4" ht="15.75" customHeight="1">
      <c r="D925" s="17"/>
    </row>
    <row r="926" spans="4:4" ht="15.75" customHeight="1">
      <c r="D926" s="17"/>
    </row>
    <row r="927" spans="4:4" ht="15.75" customHeight="1">
      <c r="D927" s="17"/>
    </row>
    <row r="928" spans="4:4" ht="15.75" customHeight="1">
      <c r="D928" s="17"/>
    </row>
    <row r="929" spans="4:4" ht="15.75" customHeight="1">
      <c r="D929" s="17"/>
    </row>
    <row r="930" spans="4:4" ht="15.75" customHeight="1">
      <c r="D930" s="17"/>
    </row>
    <row r="931" spans="4:4" ht="15.75" customHeight="1">
      <c r="D931" s="17"/>
    </row>
    <row r="932" spans="4:4" ht="15.75" customHeight="1">
      <c r="D932" s="17"/>
    </row>
    <row r="933" spans="4:4" ht="15.75" customHeight="1">
      <c r="D933" s="17"/>
    </row>
    <row r="934" spans="4:4" ht="15.75" customHeight="1">
      <c r="D934" s="17"/>
    </row>
    <row r="935" spans="4:4" ht="15.75" customHeight="1">
      <c r="D935" s="17"/>
    </row>
    <row r="936" spans="4:4" ht="15.75" customHeight="1">
      <c r="D936" s="17"/>
    </row>
    <row r="937" spans="4:4" ht="15.75" customHeight="1">
      <c r="D937" s="17"/>
    </row>
    <row r="938" spans="4:4" ht="15.75" customHeight="1">
      <c r="D938" s="17"/>
    </row>
    <row r="939" spans="4:4" ht="15.75" customHeight="1">
      <c r="D939" s="17"/>
    </row>
    <row r="940" spans="4:4" ht="15.75" customHeight="1">
      <c r="D940" s="17"/>
    </row>
    <row r="941" spans="4:4" ht="15.75" customHeight="1">
      <c r="D941" s="17"/>
    </row>
    <row r="942" spans="4:4" ht="15.75" customHeight="1">
      <c r="D942" s="17"/>
    </row>
    <row r="943" spans="4:4" ht="15.75" customHeight="1">
      <c r="D943" s="17"/>
    </row>
    <row r="944" spans="4:4" ht="15.75" customHeight="1">
      <c r="D944" s="17"/>
    </row>
    <row r="945" spans="4:4" ht="15.75" customHeight="1">
      <c r="D945" s="17"/>
    </row>
    <row r="946" spans="4:4" ht="15.75" customHeight="1">
      <c r="D946" s="17"/>
    </row>
    <row r="947" spans="4:4" ht="15.75" customHeight="1">
      <c r="D947" s="17"/>
    </row>
    <row r="948" spans="4:4" ht="15.75" customHeight="1">
      <c r="D948" s="17"/>
    </row>
    <row r="949" spans="4:4" ht="15.75" customHeight="1">
      <c r="D949" s="17"/>
    </row>
    <row r="950" spans="4:4" ht="15.75" customHeight="1">
      <c r="D950" s="17"/>
    </row>
    <row r="951" spans="4:4" ht="15.75" customHeight="1">
      <c r="D951" s="17"/>
    </row>
    <row r="952" spans="4:4" ht="15.75" customHeight="1">
      <c r="D952" s="17"/>
    </row>
    <row r="953" spans="4:4" ht="15.75" customHeight="1">
      <c r="D953" s="17"/>
    </row>
    <row r="954" spans="4:4" ht="15.75" customHeight="1">
      <c r="D954" s="17"/>
    </row>
    <row r="955" spans="4:4" ht="15.75" customHeight="1">
      <c r="D955" s="17"/>
    </row>
    <row r="956" spans="4:4" ht="15.75" customHeight="1">
      <c r="D956" s="17"/>
    </row>
    <row r="957" spans="4:4" ht="15.75" customHeight="1">
      <c r="D957" s="17"/>
    </row>
    <row r="958" spans="4:4" ht="15.75" customHeight="1">
      <c r="D958" s="17"/>
    </row>
    <row r="959" spans="4:4" ht="15.75" customHeight="1">
      <c r="D959" s="17"/>
    </row>
    <row r="960" spans="4:4" ht="15.75" customHeight="1">
      <c r="D960" s="17"/>
    </row>
    <row r="961" spans="4:4" ht="15.75" customHeight="1">
      <c r="D961" s="17"/>
    </row>
    <row r="962" spans="4:4" ht="15.75" customHeight="1">
      <c r="D962" s="17"/>
    </row>
    <row r="963" spans="4:4" ht="15.75" customHeight="1">
      <c r="D963" s="17"/>
    </row>
    <row r="964" spans="4:4" ht="15.75" customHeight="1">
      <c r="D964" s="17"/>
    </row>
    <row r="965" spans="4:4" ht="15.75" customHeight="1">
      <c r="D965" s="17"/>
    </row>
    <row r="966" spans="4:4" ht="15.75" customHeight="1">
      <c r="D966" s="17"/>
    </row>
    <row r="967" spans="4:4" ht="15.75" customHeight="1">
      <c r="D967" s="17"/>
    </row>
    <row r="968" spans="4:4" ht="15.75" customHeight="1">
      <c r="D968" s="17"/>
    </row>
    <row r="969" spans="4:4" ht="15.75" customHeight="1">
      <c r="D969" s="17"/>
    </row>
    <row r="970" spans="4:4" ht="15.75" customHeight="1">
      <c r="D970" s="17"/>
    </row>
    <row r="971" spans="4:4" ht="15.75" customHeight="1">
      <c r="D971" s="17"/>
    </row>
    <row r="972" spans="4:4" ht="15.75" customHeight="1">
      <c r="D972" s="17"/>
    </row>
    <row r="973" spans="4:4" ht="15.75" customHeight="1">
      <c r="D973" s="17"/>
    </row>
    <row r="974" spans="4:4" ht="15.75" customHeight="1">
      <c r="D974" s="17"/>
    </row>
    <row r="975" spans="4:4" ht="15.75" customHeight="1">
      <c r="D975" s="17"/>
    </row>
    <row r="976" spans="4:4" ht="15.75" customHeight="1">
      <c r="D976" s="17"/>
    </row>
    <row r="977" spans="4:4" ht="15.75" customHeight="1">
      <c r="D977" s="17"/>
    </row>
    <row r="978" spans="4:4" ht="15.75" customHeight="1">
      <c r="D978" s="17"/>
    </row>
    <row r="979" spans="4:4" ht="15.75" customHeight="1">
      <c r="D979" s="17"/>
    </row>
    <row r="980" spans="4:4" ht="15.75" customHeight="1">
      <c r="D980" s="17"/>
    </row>
    <row r="981" spans="4:4" ht="15.75" customHeight="1">
      <c r="D981" s="17"/>
    </row>
    <row r="982" spans="4:4" ht="15.75" customHeight="1">
      <c r="D982" s="17"/>
    </row>
    <row r="983" spans="4:4" ht="15.75" customHeight="1">
      <c r="D983" s="17"/>
    </row>
    <row r="984" spans="4:4" ht="15.75" customHeight="1">
      <c r="D984" s="17"/>
    </row>
    <row r="985" spans="4:4" ht="15.75" customHeight="1">
      <c r="D985" s="17"/>
    </row>
    <row r="986" spans="4:4" ht="15.75" customHeight="1">
      <c r="D986" s="17"/>
    </row>
    <row r="987" spans="4:4" ht="15.75" customHeight="1">
      <c r="D987" s="17"/>
    </row>
    <row r="988" spans="4:4" ht="15.75" customHeight="1">
      <c r="D988" s="17"/>
    </row>
    <row r="989" spans="4:4" ht="15.75" customHeight="1">
      <c r="D989" s="17"/>
    </row>
    <row r="990" spans="4:4" ht="15.75" customHeight="1">
      <c r="D990" s="17"/>
    </row>
    <row r="991" spans="4:4" ht="15.75" customHeight="1">
      <c r="D991" s="17"/>
    </row>
    <row r="992" spans="4:4" ht="15.75" customHeight="1">
      <c r="D992" s="17"/>
    </row>
    <row r="993" spans="4:4" ht="15.75" customHeight="1">
      <c r="D993" s="17"/>
    </row>
    <row r="994" spans="4:4" ht="15.75" customHeight="1">
      <c r="D994" s="17"/>
    </row>
    <row r="995" spans="4:4" ht="15.75" customHeight="1">
      <c r="D995" s="17"/>
    </row>
    <row r="996" spans="4:4" ht="15.75" customHeight="1">
      <c r="D996" s="17"/>
    </row>
    <row r="997" spans="4:4" ht="15.75" customHeight="1">
      <c r="D997" s="17"/>
    </row>
    <row r="998" spans="4:4" ht="15.75" customHeight="1">
      <c r="D998" s="17"/>
    </row>
    <row r="999" spans="4:4" ht="15.75" customHeight="1">
      <c r="D999" s="17"/>
    </row>
    <row r="1000" spans="4:4" ht="15.75" customHeight="1">
      <c r="D1000" s="17"/>
    </row>
    <row r="1001" spans="4:4" ht="15.75" customHeight="1">
      <c r="D1001" s="17"/>
    </row>
    <row r="1002" spans="4:4" ht="15.75" customHeight="1">
      <c r="D1002" s="17"/>
    </row>
    <row r="1003" spans="4:4" ht="15.75" customHeight="1">
      <c r="D1003" s="17"/>
    </row>
    <row r="1004" spans="4:4" ht="15.75" customHeight="1">
      <c r="D1004" s="17"/>
    </row>
    <row r="1005" spans="4:4" ht="15.75" customHeight="1">
      <c r="D1005" s="17"/>
    </row>
    <row r="1006" spans="4:4" ht="15.75" customHeight="1">
      <c r="D1006" s="17"/>
    </row>
    <row r="1007" spans="4:4" ht="15.75" customHeight="1">
      <c r="D1007" s="17"/>
    </row>
    <row r="1008" spans="4:4" ht="15.75" customHeight="1">
      <c r="D1008" s="17"/>
    </row>
    <row r="1009" spans="4:4" ht="15.75" customHeight="1">
      <c r="D1009" s="17"/>
    </row>
    <row r="1010" spans="4:4" ht="15.75" customHeight="1">
      <c r="D1010" s="17"/>
    </row>
    <row r="1011" spans="4:4" ht="15.75" customHeight="1">
      <c r="D1011" s="17"/>
    </row>
    <row r="1012" spans="4:4" ht="15.75" customHeight="1">
      <c r="D1012" s="17"/>
    </row>
    <row r="1013" spans="4:4" ht="15.75" customHeight="1">
      <c r="D1013" s="17"/>
    </row>
    <row r="1014" spans="4:4" ht="15.75" customHeight="1">
      <c r="D1014" s="17"/>
    </row>
    <row r="1015" spans="4:4" ht="15.75" customHeight="1">
      <c r="D1015" s="17"/>
    </row>
    <row r="1016" spans="4:4" ht="15.75" customHeight="1">
      <c r="D1016" s="17"/>
    </row>
    <row r="1017" spans="4:4" ht="15.75" customHeight="1">
      <c r="D1017" s="17"/>
    </row>
    <row r="1018" spans="4:4" ht="15.75" customHeight="1">
      <c r="D1018" s="17"/>
    </row>
    <row r="1019" spans="4:4" ht="15.75" customHeight="1">
      <c r="D1019" s="17"/>
    </row>
    <row r="1020" spans="4:4" ht="15.75" customHeight="1">
      <c r="D1020" s="17"/>
    </row>
    <row r="1021" spans="4:4" ht="15.75" customHeight="1">
      <c r="D1021" s="17"/>
    </row>
    <row r="1022" spans="4:4" ht="15.75" customHeight="1">
      <c r="D1022" s="17"/>
    </row>
    <row r="1023" spans="4:4" ht="15.75" customHeight="1">
      <c r="D1023" s="17"/>
    </row>
    <row r="1024" spans="4:4" ht="15.75" customHeight="1">
      <c r="D1024" s="17"/>
    </row>
    <row r="1025" spans="4:4" ht="15.75" customHeight="1">
      <c r="D1025" s="17"/>
    </row>
    <row r="1026" spans="4:4" ht="15.75" customHeight="1">
      <c r="D1026" s="17"/>
    </row>
    <row r="1027" spans="4:4" ht="15.75" customHeight="1">
      <c r="D1027" s="17"/>
    </row>
    <row r="1028" spans="4:4" ht="15.75" customHeight="1">
      <c r="D1028" s="17"/>
    </row>
    <row r="1029" spans="4:4" ht="15.75" customHeight="1">
      <c r="D1029" s="17"/>
    </row>
    <row r="1030" spans="4:4" ht="15.75" customHeight="1">
      <c r="D1030" s="17"/>
    </row>
    <row r="1031" spans="4:4" ht="15.75" customHeight="1">
      <c r="D1031" s="17"/>
    </row>
    <row r="1032" spans="4:4" ht="15.75" customHeight="1">
      <c r="D1032" s="17"/>
    </row>
    <row r="1033" spans="4:4" ht="15.75" customHeight="1">
      <c r="D1033" s="17"/>
    </row>
    <row r="1034" spans="4:4" ht="15.75" customHeight="1">
      <c r="D1034" s="17"/>
    </row>
    <row r="1035" spans="4:4" ht="15.75" customHeight="1">
      <c r="D1035" s="17"/>
    </row>
    <row r="1036" spans="4:4" ht="15.75" customHeight="1">
      <c r="D1036" s="17"/>
    </row>
    <row r="1037" spans="4:4" ht="15.75" customHeight="1">
      <c r="D1037" s="17"/>
    </row>
    <row r="1038" spans="4:4" ht="15.75" customHeight="1">
      <c r="D1038" s="17"/>
    </row>
    <row r="1039" spans="4:4" ht="15.75" customHeight="1">
      <c r="D1039" s="17"/>
    </row>
    <row r="1040" spans="4:4" ht="15.75" customHeight="1">
      <c r="D1040" s="17"/>
    </row>
    <row r="1041" spans="4:4" ht="15.75" customHeight="1">
      <c r="D1041" s="17"/>
    </row>
    <row r="1042" spans="4:4" ht="15.75" customHeight="1">
      <c r="D1042" s="17"/>
    </row>
    <row r="1043" spans="4:4" ht="15.75" customHeight="1">
      <c r="D1043" s="17"/>
    </row>
    <row r="1044" spans="4:4" ht="15.75" customHeight="1">
      <c r="D1044" s="17"/>
    </row>
    <row r="1045" spans="4:4" ht="15.75" customHeight="1">
      <c r="D1045" s="17"/>
    </row>
    <row r="1046" spans="4:4" ht="15.75" customHeight="1">
      <c r="D1046" s="17"/>
    </row>
    <row r="1047" spans="4:4" ht="15.75" customHeight="1">
      <c r="D1047" s="17"/>
    </row>
    <row r="1048" spans="4:4" ht="15.75" customHeight="1">
      <c r="D1048" s="17"/>
    </row>
    <row r="1049" spans="4:4" ht="15.75" customHeight="1">
      <c r="D1049" s="17"/>
    </row>
    <row r="1050" spans="4:4" ht="15.75" customHeight="1">
      <c r="D1050" s="17"/>
    </row>
    <row r="1051" spans="4:4" ht="15.75" customHeight="1">
      <c r="D1051" s="17"/>
    </row>
    <row r="1052" spans="4:4" ht="15.75" customHeight="1">
      <c r="D1052" s="17"/>
    </row>
    <row r="1053" spans="4:4" ht="15.75" customHeight="1">
      <c r="D1053" s="17"/>
    </row>
    <row r="1054" spans="4:4" ht="15.75" customHeight="1">
      <c r="D1054" s="17"/>
    </row>
    <row r="1055" spans="4:4" ht="15.75" customHeight="1">
      <c r="D1055" s="17"/>
    </row>
    <row r="1056" spans="4:4" ht="15.75" customHeight="1">
      <c r="D1056" s="17"/>
    </row>
    <row r="1057" spans="4:4" ht="15.75" customHeight="1">
      <c r="D1057" s="17"/>
    </row>
    <row r="1058" spans="4:4" ht="15.75" customHeight="1">
      <c r="D1058" s="17"/>
    </row>
    <row r="1059" spans="4:4" ht="15.75" customHeight="1">
      <c r="D1059" s="1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Noa Davidai</cp:lastModifiedBy>
  <dcterms:created xsi:type="dcterms:W3CDTF">2023-06-11T21:27:05Z</dcterms:created>
  <dcterms:modified xsi:type="dcterms:W3CDTF">2024-01-26T16:29:59Z</dcterms:modified>
</cp:coreProperties>
</file>